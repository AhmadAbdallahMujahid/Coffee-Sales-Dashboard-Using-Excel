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Ahmad Abdallah\Desktop\Flash_0\5_Work\MetaWorkFiles\Projects\In The Process Of Making\Excel Project_Coffee Sales Dashboard Using Excel\"/>
    </mc:Choice>
  </mc:AlternateContent>
  <xr:revisionPtr revIDLastSave="0" documentId="13_ncr:1_{0AB7EB7C-5624-4B59-9278-B022D4D843AA}" xr6:coauthVersionLast="47" xr6:coauthVersionMax="47" xr10:uidLastSave="{00000000-0000-0000-0000-000000000000}"/>
  <bookViews>
    <workbookView xWindow="-108" yWindow="-108" windowWidth="23256" windowHeight="12456" xr2:uid="{00000000-000D-0000-FFFF-FFFF00000000}"/>
  </bookViews>
  <sheets>
    <sheet name="Dashboard" sheetId="21" r:id="rId1"/>
    <sheet name="TotalSales" sheetId="18" r:id="rId2"/>
    <sheet name="CountryBarChart" sheetId="19" r:id="rId3"/>
    <sheet name="Top5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7"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N166" i="17"/>
  <c r="N374" i="17"/>
  <c r="N518" i="17"/>
  <c r="N621" i="17"/>
  <c r="N766" i="17"/>
  <c r="N802" i="17"/>
  <c r="M18" i="17"/>
  <c r="M42" i="17"/>
  <c r="M66" i="17"/>
  <c r="M90" i="17"/>
  <c r="M114" i="17"/>
  <c r="M138" i="17"/>
  <c r="M162" i="17"/>
  <c r="M183" i="17"/>
  <c r="M199" i="17"/>
  <c r="M219" i="17"/>
  <c r="M235" i="17"/>
  <c r="M255" i="17"/>
  <c r="M271" i="17"/>
  <c r="M289" i="17"/>
  <c r="M304" i="17"/>
  <c r="M319" i="17"/>
  <c r="M337" i="17"/>
  <c r="M351" i="17"/>
  <c r="M365" i="17"/>
  <c r="M379" i="17"/>
  <c r="M395" i="17"/>
  <c r="M409" i="17"/>
  <c r="M423" i="17"/>
  <c r="M437" i="17"/>
  <c r="M451" i="17"/>
  <c r="M465" i="17"/>
  <c r="M477" i="17"/>
  <c r="M489" i="17"/>
  <c r="M501" i="17"/>
  <c r="M513" i="17"/>
  <c r="M525" i="17"/>
  <c r="M537" i="17"/>
  <c r="M549" i="17"/>
  <c r="M561" i="17"/>
  <c r="M573" i="17"/>
  <c r="M585" i="17"/>
  <c r="M597" i="17"/>
  <c r="M609" i="17"/>
  <c r="M621" i="17"/>
  <c r="M633" i="17"/>
  <c r="M645" i="17"/>
  <c r="M657" i="17"/>
  <c r="M669" i="17"/>
  <c r="M681" i="17"/>
  <c r="M693" i="17"/>
  <c r="M705" i="17"/>
  <c r="M717" i="17"/>
  <c r="M729" i="17"/>
  <c r="M741" i="17"/>
  <c r="M753" i="17"/>
  <c r="M765" i="17"/>
  <c r="M777" i="17"/>
  <c r="M789" i="17"/>
  <c r="M801" i="17"/>
  <c r="M813" i="17"/>
  <c r="M825" i="17"/>
  <c r="M837" i="17"/>
  <c r="M849" i="17"/>
  <c r="M861" i="17"/>
  <c r="M873" i="17"/>
  <c r="M885" i="17"/>
  <c r="M897" i="17"/>
  <c r="M909" i="17"/>
  <c r="M921" i="17"/>
  <c r="M933" i="17"/>
  <c r="M945" i="17"/>
  <c r="M957" i="17"/>
  <c r="M969" i="17"/>
  <c r="M981" i="17"/>
  <c r="M993"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J621" i="17"/>
  <c r="O621" i="17" s="1"/>
  <c r="K621" i="17"/>
  <c r="L621" i="17"/>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I766" i="17"/>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I802" i="17"/>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<sst xmlns="http://schemas.openxmlformats.org/spreadsheetml/2006/main" count="11128" uniqueCount="6221">
  <si>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</si>
  <si>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</si>
  <si>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</si>
  <si>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</si>
  <si>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</si>
  <si>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</si>
  <si>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</si>
  <si>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</si>
  <si>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</si>
  <si>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</si>
  <si>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</si>
  <si>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</si>
  <si>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</si>
  <si>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</si>
  <si>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</si>
  <si>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</si>
  <si>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</si>
  <si>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</si>
  <si>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</si>
  <si>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</si>
  <si>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</si>
  <si>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</si>
  <si>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</si>
  <si>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</si>
  <si>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</si>
  <si>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</si>
  <si>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</si>
  <si>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</si>
  <si>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</si>
  <si>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</si>
  <si>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</si>
  <si>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</si>
  <si>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</si>
  <si>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</si>
  <si>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</si>
  <si>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</si>
  <si>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</si>
  <si>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</si>
  <si>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</si>
  <si>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</si>
  <si>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</si>
  <si>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</si>
  <si>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</si>
  <si>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</si>
  <si>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</si>
  <si>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</si>
  <si>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</si>
  <si>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</si>
  <si>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</si>
  <si>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</si>
  <si>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</si>
  <si>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</si>
  <si>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</si>
  <si>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</si>
  <si>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</si>
  <si>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</si>
  <si>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</si>
  <si>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</si>
  <si>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</si>
  <si>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</si>
  <si>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</si>
  <si>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</si>
  <si>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</si>
  <si>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</si>
  <si>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</si>
  <si>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</si>
  <si>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</si>
  <si>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</si>
  <si>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</si>
  <si>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</si>
  <si>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</si>
  <si>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</si>
  <si>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</si>
  <si>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</si>
  <si>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</si>
  <si>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</si>
  <si>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</si>
  <si>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</si>
  <si>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</si>
  <si>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</si>
  <si>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</si>
  <si>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</si>
  <si>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</si>
  <si>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</si>
  <si>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</si>
  <si>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</si>
  <si>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</si>
  <si>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</si>
  <si>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</si>
  <si>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</si>
  <si>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</si>
  <si>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</si>
  <si>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</si>
  <si>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</si>
  <si>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</si>
  <si>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</si>
  <si>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</si>
  <si>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</si>
  <si>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</si>
  <si>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</si>
  <si>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</si>
  <si>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</si>
  <si>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</si>
  <si>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</si>
  <si>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</si>
  <si>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</si>
  <si>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</si>
  <si>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</si>
  <si>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</si>
  <si>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</si>
  <si>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</si>
  <si>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</si>
  <si>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</si>
  <si>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</si>
  <si>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</si>
  <si>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</si>
  <si>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</si>
  <si>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</si>
  <si>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</si>
  <si>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</si>
  <si>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</si>
  <si>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</si>
  <si>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</si>
  <si>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</si>
  <si>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</si>
  <si>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</si>
  <si>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</si>
  <si>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</si>
  <si>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</si>
  <si>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</si>
  <si>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</si>
  <si>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</si>
  <si>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</si>
  <si>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</si>
  <si>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</si>
  <si>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</si>
  <si>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</si>
  <si>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</si>
  <si>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</si>
  <si>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</si>
  <si>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</si>
  <si>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</si>
  <si>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</si>
  <si>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</si>
  <si>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</si>
  <si>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</si>
  <si>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</si>
  <si>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</si>
  <si>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</si>
  <si>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</si>
  <si>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</si>
  <si>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</si>
  <si>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</si>
  <si>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</si>
  <si>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</si>
  <si>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</si>
  <si>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</si>
  <si>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</si>
  <si>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</si>
  <si>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</si>
  <si>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</si>
  <si>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</si>
  <si>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</si>
  <si>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</si>
  <si>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</si>
  <si>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</si>
  <si>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</si>
  <si>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</si>
  <si>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</si>
  <si>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</si>
  <si>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</si>
  <si>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</si>
  <si>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</si>
  <si>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</si>
  <si>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</si>
  <si>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</si>
  <si>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</si>
  <si>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</si>
  <si>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</si>
  <si>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</si>
  <si>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</si>
  <si>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</si>
  <si>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</si>
  <si>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</si>
  <si>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</si>
  <si>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</si>
  <si>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</si>
  <si>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</si>
  <si>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</si>
  <si>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</si>
  <si>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</si>
  <si>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</si>
  <si>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</si>
  <si>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</si>
  <si>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</si>
  <si>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</si>
  <si>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</si>
  <si>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</si>
  <si>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</si>
  <si>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</si>
  <si>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</si>
  <si>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</si>
  <si>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</si>
  <si>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</si>
  <si>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</si>
  <si>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</si>
  <si>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</si>
  <si>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</si>
  <si>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</si>
  <si>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</si>
  <si>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</si>
  <si>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</si>
  <si>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</si>
  <si>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</si>
  <si>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</si>
  <si>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</si>
  <si>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</si>
  <si>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</si>
  <si>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</si>
  <si>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</si>
  <si>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</si>
  <si>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</si>
  <si>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</si>
  <si>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</si>
  <si>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</si>
  <si>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</si>
  <si>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</si>
  <si>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</si>
  <si>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</si>
  <si>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</si>
  <si>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</si>
  <si>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</si>
  <si>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</si>
  <si>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</si>
  <si>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</si>
  <si>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</si>
  <si>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</si>
  <si>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</si>
  <si>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</si>
  <si>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</si>
  <si>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</si>
  <si>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</si>
  <si>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</si>
  <si>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</si>
  <si>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</si>
  <si>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</si>
  <si>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</si>
  <si>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</si>
  <si>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</si>
  <si>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</si>
  <si>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</si>
  <si>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</si>
  <si>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</si>
  <si>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</si>
  <si>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</si>
  <si>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</si>
  <si>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</si>
  <si>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</si>
  <si>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</si>
  <si>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</si>
  <si>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</si>
  <si>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</si>
  <si>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</si>
  <si>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</si>
  <si>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</si>
  <si>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</si>
  <si>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</si>
  <si>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</si>
  <si>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</si>
  <si>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</si>
  <si>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</si>
  <si>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</si>
  <si>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</si>
  <si>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</si>
  <si>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</si>
  <si>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</si>
  <si>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</si>
  <si>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</si>
  <si>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</si>
  <si>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</si>
  <si>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</si>
  <si>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</si>
  <si>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</si>
  <si>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</si>
  <si>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</si>
  <si>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</si>
  <si>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</si>
  <si>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</si>
  <si>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</si>
  <si>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</si>
  <si>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</si>
  <si>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</si>
  <si>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</si>
  <si>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</si>
  <si>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</si>
  <si>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</si>
  <si>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</si>
  <si>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</si>
  <si>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</si>
  <si>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</si>
  <si>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</si>
  <si>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</si>
  <si>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</si>
  <si>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</si>
  <si>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</si>
  <si>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</si>
  <si>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</si>
  <si>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</si>
  <si>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</si>
  <si>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</si>
  <si>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</si>
  <si>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</si>
  <si>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</si>
  <si>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</si>
  <si>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</si>
  <si>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</si>
  <si>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</si>
  <si>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</si>
  <si>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</si>
  <si>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</si>
  <si>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</si>
  <si>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</si>
  <si>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</si>
  <si>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</si>
  <si>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</si>
  <si>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</si>
  <si>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</si>
  <si>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</si>
  <si>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</si>
  <si>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</si>
  <si>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</si>
  <si>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</si>
  <si>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</si>
  <si>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</si>
  <si>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</si>
  <si>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</si>
  <si>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</si>
  <si>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</si>
  <si>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</si>
  <si>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</si>
  <si>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</si>
  <si>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</si>
  <si>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</si>
  <si>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</si>
  <si>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</si>
  <si>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</si>
  <si>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</si>
  <si>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</si>
  <si>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</si>
  <si>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</si>
  <si>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</si>
  <si>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</si>
  <si>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</si>
  <si>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</si>
  <si>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</si>
  <si>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</si>
  <si>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</si>
  <si>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</si>
  <si>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</si>
  <si>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</si>
  <si>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</si>
  <si>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</si>
  <si>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</si>
  <si>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</si>
  <si>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</si>
  <si>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</si>
  <si>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</si>
  <si>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</si>
  <si>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</si>
  <si>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</si>
  <si>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</si>
  <si>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</si>
  <si>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</si>
  <si>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</si>
  <si>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</si>
  <si>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</si>
  <si>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</si>
  <si>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</si>
  <si>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</si>
  <si>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</si>
  <si>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</si>
  <si>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</si>
  <si>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</si>
  <si>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</si>
  <si>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</si>
  <si>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</si>
  <si>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</si>
  <si>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</si>
  <si>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</si>
  <si>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</si>
  <si>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</si>
  <si>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</si>
  <si>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</si>
  <si>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</si>
  <si>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</si>
  <si>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</si>
  <si>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</si>
  <si>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</si>
  <si>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</si>
  <si>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</si>
  <si>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</si>
  <si>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</si>
  <si>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</si>
  <si>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</si>
  <si>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</si>
  <si>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</si>
  <si>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</si>
  <si>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</si>
  <si>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</si>
  <si>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</si>
  <si>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</si>
  <si>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</si>
  <si>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</si>
  <si>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</si>
  <si>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</si>
  <si>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</si>
  <si>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</si>
  <si>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</si>
  <si>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</si>
  <si>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</si>
  <si>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</si>
  <si>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</si>
  <si>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</si>
  <si>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</si>
  <si>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</si>
  <si>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</si>
  <si>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</si>
  <si>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</si>
  <si>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</si>
  <si>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</si>
  <si>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</si>
  <si>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</si>
  <si>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</si>
  <si>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</si>
  <si>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</si>
  <si>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</si>
  <si>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</si>
  <si>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</si>
  <si>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</si>
  <si>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</si>
  <si>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</si>
  <si>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</si>
  <si>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</si>
  <si>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</si>
  <si>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</si>
  <si>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</si>
  <si>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</si>
  <si>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</si>
  <si>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</si>
  <si>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</si>
  <si>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</si>
  <si>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</si>
  <si>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</si>
  <si>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</si>
  <si>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</si>
  <si>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</si>
  <si>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</si>
  <si>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</si>
  <si>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</si>
  <si>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</si>
  <si>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</si>
  <si>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</si>
  <si>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</si>
  <si>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</si>
  <si>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</si>
  <si>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</si>
  <si>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</si>
  <si>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</si>
  <si>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</si>
  <si>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</si>
  <si>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</si>
  <si>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</si>
  <si>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</si>
  <si>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</si>
  <si>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</si>
  <si>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</si>
  <si>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</si>
  <si>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</si>
  <si>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</si>
  <si>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</si>
  <si>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</si>
  <si>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</si>
  <si>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</si>
  <si>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</si>
  <si>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</si>
  <si>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</si>
  <si>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</si>
  <si>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</si>
  <si>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</si>
  <si>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</si>
  <si>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</si>
  <si>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</si>
  <si>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</si>
  <si>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</si>
  <si>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</si>
  <si>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</si>
  <si>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</si>
  <si>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</si>
  <si>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</si>
  <si>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</si>
  <si>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</si>
  <si>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</si>
  <si>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</si>
  <si>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</si>
  <si>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</si>
  <si>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</si>
  <si>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</si>
  <si>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</si>
  <si>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</si>
  <si>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</si>
  <si>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</si>
  <si>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</si>
  <si>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</si>
  <si>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</si>
  <si>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</si>
  <si>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</si>
  <si>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</si>
  <si>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</si>
  <si>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</si>
  <si>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</si>
  <si>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</si>
  <si>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</si>
  <si>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</si>
  <si>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</si>
  <si>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</si>
  <si>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</si>
  <si>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</si>
  <si>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</si>
  <si>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</si>
  <si>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</si>
  <si>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</si>
  <si>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</si>
  <si>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</si>
  <si>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</si>
  <si>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</si>
  <si>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</si>
  <si>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</si>
  <si>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</si>
  <si>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</si>
  <si>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</si>
  <si>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</si>
  <si>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</si>
  <si>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</si>
  <si>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</si>
  <si>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</si>
  <si>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</si>
  <si>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</si>
  <si>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</si>
  <si>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</si>
  <si>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</si>
  <si>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</si>
  <si>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</si>
  <si>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</si>
  <si>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</si>
  <si>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</si>
  <si>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</si>
  <si>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</si>
  <si>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</si>
  <si>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</si>
  <si>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</si>
  <si>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</si>
  <si>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</si>
  <si>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</si>
  <si>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</si>
  <si>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</si>
  <si>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</si>
  <si>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</si>
  <si>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</si>
  <si>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</si>
  <si>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</si>
  <si>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</si>
  <si>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</si>
  <si>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</si>
  <si>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</si>
  <si>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</si>
  <si>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</si>
  <si>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</si>
  <si>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</si>
  <si>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</si>
  <si>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</si>
  <si>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</si>
  <si>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</si>
  <si>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</si>
  <si>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</si>
  <si>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</si>
  <si>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</si>
  <si>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</si>
  <si>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</si>
  <si>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</si>
  <si>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</si>
  <si>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</si>
  <si>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</si>
  <si>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</si>
  <si>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</si>
  <si>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</si>
  <si>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</si>
  <si>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</si>
  <si>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</si>
  <si>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</si>
  <si>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</si>
  <si>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</si>
  <si>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</si>
  <si>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</si>
  <si>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</si>
  <si>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</si>
  <si>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</si>
  <si>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</si>
  <si>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</si>
  <si>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</si>
  <si>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</si>
  <si>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</si>
  <si>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</si>
  <si>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</si>
  <si>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</si>
  <si>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</si>
  <si>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</si>
  <si>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</si>
  <si>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</si>
  <si>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</si>
  <si>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</si>
  <si>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</si>
  <si>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</si>
  <si>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</si>
  <si>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</si>
  <si>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</si>
  <si>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</si>
  <si>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</si>
  <si>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</si>
  <si>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</si>
  <si>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</si>
  <si>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</si>
  <si>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</si>
  <si>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</si>
  <si>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</si>
  <si>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</si>
  <si>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</si>
  <si>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</si>
  <si>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</si>
  <si>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</si>
  <si>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</si>
  <si>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</si>
  <si>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</si>
  <si>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</si>
  <si>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</si>
  <si>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</si>
  <si>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</si>
  <si>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</si>
  <si>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</si>
  <si>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</si>
  <si>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</si>
  <si>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</si>
  <si>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</si>
  <si>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</si>
  <si>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</si>
  <si>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</si>
  <si>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</si>
  <si>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</si>
  <si>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</si>
  <si>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</si>
  <si>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</si>
  <si>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</si>
  <si>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</si>
  <si>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</si>
  <si>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</si>
  <si>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</si>
  <si>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</si>
  <si>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</si>
  <si>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</si>
  <si>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</si>
  <si>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</si>
  <si>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</si>
  <si>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</si>
  <si>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</si>
  <si>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</si>
  <si>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</si>
  <si>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</si>
  <si>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</si>
  <si>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</si>
  <si>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</si>
  <si>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</si>
  <si>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</si>
  <si>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</si>
  <si>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</si>
  <si>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</si>
  <si>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</si>
  <si>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</si>
  <si>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</si>
  <si>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</si>
  <si>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</si>
  <si>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</si>
  <si>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</si>
  <si>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</si>
  <si>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</si>
  <si>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</si>
  <si>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</si>
  <si>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</si>
  <si>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</si>
  <si>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</si>
  <si>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</si>
  <si>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</si>
  <si>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</si>
  <si>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</si>
  <si>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</si>
  <si>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</si>
  <si>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</si>
  <si>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</si>
  <si>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</si>
  <si>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</si>
  <si>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</si>
  <si>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</si>
  <si>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</si>
  <si>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</si>
  <si>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</si>
  <si>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</si>
  <si>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</si>
  <si>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</si>
  <si>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</si>
  <si>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</si>
  <si>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</si>
  <si>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</si>
  <si>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</si>
  <si>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</si>
  <si>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</si>
  <si>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</si>
  <si>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</si>
  <si>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</si>
  <si>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</si>
  <si>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</si>
  <si>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</si>
  <si>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</si>
  <si>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</si>
  <si>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</si>
  <si>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</si>
  <si>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</si>
  <si>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</si>
  <si>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</si>
  <si>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</si>
  <si>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</si>
  <si>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</si>
  <si>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</si>
  <si>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</si>
  <si>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</si>
  <si>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</si>
  <si>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</si>
  <si>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</si>
  <si>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</si>
  <si>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</si>
  <si>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</si>
  <si>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</si>
  <si>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</si>
  <si>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</si>
  <si>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</si>
  <si>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</si>
  <si>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</si>
  <si>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</si>
  <si>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</si>
  <si>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</si>
  <si>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</si>
  <si>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</si>
  <si>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</si>
  <si>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</si>
  <si>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</si>
  <si>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</si>
  <si>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</si>
  <si>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</si>
  <si>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</si>
  <si>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</si>
  <si>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</si>
  <si>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</si>
  <si>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</si>
  <si>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</si>
  <si>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</si>
  <si>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</si>
  <si>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</si>
  <si>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</si>
  <si>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</si>
  <si>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</si>
  <si>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</si>
  <si>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</si>
  <si>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</si>
  <si>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</si>
  <si>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</si>
  <si>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</si>
  <si>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</si>
  <si>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</si>
  <si>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</si>
  <si>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</si>
  <si>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</si>
  <si>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</si>
  <si>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</si>
  <si>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</si>
  <si>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</si>
  <si>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</si>
  <si>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</si>
  <si>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</si>
  <si>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</si>
  <si>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</si>
  <si>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</si>
  <si>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</si>
  <si>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</si>
  <si>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</si>
  <si>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</si>
  <si>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</si>
  <si>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</si>
  <si>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</si>
  <si>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</si>
  <si>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</si>
  <si>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</si>
  <si>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</si>
  <si>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</si>
  <si>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</si>
  <si>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</si>
  <si>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</si>
  <si>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</si>
  <si>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</si>
  <si>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</si>
  <si>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</si>
  <si>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</si>
  <si>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</si>
  <si>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</si>
  <si>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</si>
  <si>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</si>
  <si>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</si>
  <si>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</si>
  <si>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</si>
  <si>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</si>
  <si>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</si>
  <si>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</si>
  <si>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</si>
  <si>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</si>
  <si>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</si>
  <si>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</si>
  <si>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</si>
  <si>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</si>
  <si>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</si>
  <si>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</si>
  <si>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</si>
  <si>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</si>
  <si>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</si>
  <si>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</si>
  <si>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</si>
  <si>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</si>
  <si>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</si>
  <si>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</si>
  <si>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</si>
  <si>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</si>
  <si>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</si>
  <si>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</si>
  <si>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</si>
  <si>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</si>
  <si>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</si>
  <si>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</si>
  <si>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</si>
  <si>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</si>
  <si>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</si>
  <si>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</si>
  <si>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</si>
  <si>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</si>
  <si>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</si>
  <si>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</si>
  <si>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</si>
  <si>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</si>
  <si>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</si>
  <si>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</si>
  <si>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</si>
  <si>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</si>
  <si>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</si>
  <si>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</si>
  <si>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</si>
  <si>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</si>
  <si>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</si>
  <si>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</si>
  <si>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</si>
  <si>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</si>
  <si>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</si>
  <si>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</si>
  <si>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</si>
  <si>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</si>
  <si>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</si>
  <si>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</si>
  <si>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</si>
  <si>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</si>
  <si>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</si>
  <si>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</si>
  <si>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</si>
  <si>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</si>
  <si>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</si>
  <si>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</si>
  <si>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</si>
  <si>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</si>
  <si>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</si>
  <si>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</si>
  <si>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</si>
  <si>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</si>
  <si>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</si>
  <si>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</si>
  <si>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</si>
  <si>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</si>
  <si>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</si>
  <si>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</si>
  <si>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</si>
  <si>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</si>
  <si>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</si>
  <si>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</si>
  <si>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</si>
  <si>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</si>
  <si>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</si>
  <si>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</si>
  <si>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</si>
  <si>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</si>
  <si>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</si>
  <si>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</si>
  <si>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</si>
  <si>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</si>
  <si>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</si>
  <si>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</si>
  <si>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</si>
  <si>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</si>
  <si>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</si>
  <si>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</si>
  <si>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</si>
  <si>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</si>
  <si>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</si>
  <si>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</si>
  <si>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</si>
  <si>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</si>
  <si>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</si>
  <si>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</si>
  <si>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</si>
  <si>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</si>
  <si>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</si>
  <si>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</si>
  <si>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</si>
  <si>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</si>
  <si>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</si>
  <si>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</si>
  <si>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</si>
  <si>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</si>
  <si>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</si>
  <si>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</si>
  <si>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</si>
  <si>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</si>
  <si>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</si>
  <si>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</si>
  <si>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</si>
  <si>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</si>
  <si>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</si>
  <si>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</si>
  <si>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</si>
  <si>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</si>
  <si>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</si>
  <si>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</si>
  <si>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</si>
  <si>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</si>
  <si>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</si>
  <si>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</si>
  <si>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</si>
  <si>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</si>
  <si>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</si>
  <si>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</si>
  <si>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</si>
  <si>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</si>
  <si>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</si>
  <si>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</si>
  <si>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</si>
  <si>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</si>
  <si>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</si>
  <si>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</si>
  <si>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</si>
  <si>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</si>
  <si>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</si>
  <si>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</si>
  <si>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</si>
  <si>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</si>
  <si>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</si>
  <si>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</si>
  <si>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</si>
  <si>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</si>
  <si>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</si>
  <si>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</si>
  <si>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</si>
  <si>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</si>
  <si>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</si>
  <si>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</si>
  <si>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</si>
  <si>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</si>
  <si>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</si>
  <si>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</si>
  <si>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</si>
  <si>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</si>
  <si>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</si>
  <si>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</si>
  <si>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</si>
  <si>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</si>
  <si>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</si>
  <si>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</si>
  <si>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</si>
  <si>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</si>
  <si>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</si>
  <si>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</si>
  <si>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</si>
  <si>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</si>
  <si>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</si>
  <si>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</si>
  <si>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</si>
  <si>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</si>
  <si>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</si>
  <si>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</si>
  <si>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</si>
  <si>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</si>
  <si>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</si>
  <si>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</si>
  <si>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</si>
  <si>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</si>
  <si>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</si>
  <si>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</si>
  <si>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</si>
  <si>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</si>
  <si>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</si>
  <si>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</si>
  <si>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</si>
  <si>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</si>
  <si>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</si>
  <si>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</si>
  <si>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</si>
  <si>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</si>
  <si>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</si>
  <si>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</si>
  <si>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</si>
  <si>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</si>
  <si>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</si>
  <si>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</si>
  <si>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</si>
  <si>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</si>
  <si>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</si>
  <si>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</si>
  <si>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</si>
  <si>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</si>
  <si>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</si>
  <si>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</si>
  <si>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</si>
  <si>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</si>
  <si>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</si>
  <si>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</si>
  <si>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</si>
  <si>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</si>
  <si>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</si>
  <si>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</si>
  <si>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</si>
  <si>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</si>
  <si>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</si>
  <si>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</si>
  <si>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</si>
  <si>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</si>
  <si>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</si>
  <si>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</si>
  <si>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</si>
  <si>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</si>
  <si>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</si>
  <si>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</si>
  <si>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</si>
  <si>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</si>
  <si>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</si>
  <si>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</si>
  <si>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</si>
  <si>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</si>
  <si>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</si>
  <si>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</si>
  <si>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</si>
  <si>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</si>
  <si>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</si>
  <si>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</si>
  <si>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</si>
  <si>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</si>
  <si>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</si>
  <si>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</si>
  <si>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</si>
  <si>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</si>
  <si>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</si>
  <si>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</si>
  <si>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</si>
  <si>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</si>
  <si>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</si>
  <si>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</si>
  <si>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</si>
  <si>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</si>
  <si>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</si>
  <si>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</si>
  <si>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</si>
  <si>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</si>
  <si>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</si>
  <si>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</si>
  <si>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</si>
  <si>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</si>
  <si>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</si>
  <si>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</si>
  <si>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</si>
  <si>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</si>
  <si>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</si>
  <si>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</si>
  <si>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</si>
  <si>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</si>
  <si>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</si>
  <si>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</si>
  <si>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</si>
  <si>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</si>
  <si>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</si>
  <si>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</si>
  <si>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</si>
  <si>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</si>
  <si>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</si>
  <si>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</si>
  <si>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</si>
  <si>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</si>
  <si>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</si>
  <si>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</si>
  <si>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</si>
  <si>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</si>
  <si>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</si>
  <si>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</si>
  <si>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</si>
  <si>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</si>
  <si>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</si>
  <si>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</si>
  <si>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</si>
  <si>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</si>
  <si>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</si>
  <si>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</si>
  <si>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</si>
  <si>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</si>
  <si>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</si>
  <si>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</si>
  <si>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</si>
  <si>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</si>
  <si>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</si>
  <si>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</si>
  <si>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</si>
  <si>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</si>
  <si>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</si>
  <si>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</si>
  <si>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</si>
  <si>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</si>
  <si>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</si>
  <si>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</si>
  <si>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</si>
  <si>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</si>
  <si>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</si>
  <si>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</si>
  <si>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</si>
  <si>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</si>
  <si>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</si>
  <si>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</si>
  <si>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</si>
  <si>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</si>
  <si>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</si>
  <si>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</si>
  <si>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</si>
  <si>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</si>
  <si>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</si>
  <si>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</si>
  <si>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</si>
  <si>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</si>
  <si>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</si>
  <si>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</si>
  <si>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</si>
  <si>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</si>
  <si>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</si>
  <si>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</si>
  <si>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</si>
  <si>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</si>
  <si>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</si>
  <si>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</si>
  <si>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</si>
  <si>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</si>
  <si>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</si>
  <si>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</si>
  <si>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</si>
  <si>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</si>
  <si>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</si>
  <si>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</si>
  <si>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</si>
  <si>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</si>
  <si>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</si>
  <si>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</si>
  <si>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</si>
  <si>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</si>
  <si>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</si>
  <si>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</si>
  <si>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</si>
  <si>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</si>
  <si>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</si>
  <si>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</si>
  <si>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</si>
  <si>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</si>
  <si>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</si>
  <si>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</si>
  <si>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</si>
  <si>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</si>
  <si>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</si>
  <si>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</si>
  <si>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</si>
  <si>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</si>
  <si>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</si>
  <si>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</si>
  <si>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</si>
  <si>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</si>
  <si>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</si>
  <si>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</si>
  <si>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</si>
  <si>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</si>
  <si>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</si>
  <si>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</si>
  <si>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</si>
  <si>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</si>
  <si>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</si>
  <si>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</si>
  <si>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</si>
  <si>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</si>
  <si>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</si>
  <si>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</si>
  <si>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</si>
  <si>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</si>
  <si>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</si>
  <si>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</si>
  <si>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</si>
  <si>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</si>
  <si>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</si>
  <si>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</si>
  <si>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</si>
  <si>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</si>
  <si>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</si>
  <si>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</si>
  <si>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</si>
  <si>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</si>
  <si>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</si>
  <si>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</si>
  <si>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</si>
  <si>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</si>
  <si>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</si>
  <si>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</si>
  <si>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</si>
  <si>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</si>
  <si>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</si>
  <si>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</si>
  <si>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</si>
  <si>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</si>
  <si>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</si>
  <si>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</si>
  <si>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</si>
  <si>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</si>
  <si>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</si>
  <si>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</si>
  <si>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</si>
  <si>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</si>
  <si>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</si>
  <si>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</si>
  <si>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</si>
  <si>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</si>
  <si>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</si>
  <si>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</si>
  <si>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</si>
  <si>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</si>
  <si>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</si>
  <si>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</si>
  <si>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</si>
  <si>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</si>
  <si>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</si>
  <si>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</si>
  <si>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</si>
  <si>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</si>
  <si>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</si>
  <si>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</si>
  <si>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</si>
  <si>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</si>
  <si>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</si>
  <si>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</si>
  <si>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</si>
  <si>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</si>
  <si>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</si>
  <si>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</si>
  <si>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</si>
  <si>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</si>
  <si>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</si>
  <si>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</si>
  <si>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</si>
  <si>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</si>
  <si>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</si>
  <si>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</si>
  <si>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</si>
  <si>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</si>
  <si>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</si>
  <si>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</si>
  <si>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</si>
  <si>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</si>
  <si>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</si>
  <si>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</si>
  <si>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</si>
  <si>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</si>
  <si>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</si>
  <si>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</si>
  <si>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</si>
  <si>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</si>
  <si>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</si>
  <si>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</si>
  <si>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</si>
  <si>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</si>
  <si>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</si>
  <si>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</si>
  <si>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</si>
  <si>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</si>
  <si>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</si>
  <si>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</si>
  <si>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</si>
  <si>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</si>
  <si>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</si>
  <si>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</si>
  <si>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</si>
  <si>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</si>
  <si>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</si>
  <si>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</si>
  <si>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</si>
  <si>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</si>
  <si>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</si>
  <si>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</si>
  <si>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</si>
  <si>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</si>
  <si>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</si>
  <si>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</si>
  <si>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</si>
  <si>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</si>
  <si>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</si>
  <si>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</si>
  <si>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</si>
  <si>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</si>
  <si>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</si>
  <si>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</si>
  <si>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</si>
  <si>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</si>
  <si>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</si>
  <si>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</si>
  <si>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</si>
  <si>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</si>
  <si>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</si>
  <si>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</si>
  <si>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</si>
  <si>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</si>
  <si>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</si>
  <si>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</si>
  <si>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</si>
  <si>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</si>
  <si>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</si>
  <si>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</si>
  <si>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</si>
  <si>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</si>
  <si>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</si>
  <si>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</si>
  <si>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</si>
  <si>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</si>
  <si>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</si>
  <si>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</si>
  <si>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</si>
  <si>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</si>
  <si>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</si>
  <si>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</si>
  <si>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</si>
  <si>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</si>
  <si>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</si>
  <si>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</si>
  <si>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</si>
  <si>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</si>
  <si>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</si>
  <si>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</si>
  <si>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</si>
  <si>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</si>
  <si>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</si>
  <si>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</si>
  <si>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</si>
  <si>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</si>
  <si>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</si>
  <si>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</si>
  <si>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</si>
  <si>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</si>
  <si>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</si>
  <si>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</si>
  <si>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</si>
  <si>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</si>
  <si>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</si>
  <si>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</si>
  <si>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</si>
  <si>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</si>
  <si>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</si>
  <si>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</si>
  <si>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</si>
  <si>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</si>
  <si>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</si>
  <si>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</si>
  <si>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</si>
  <si>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</si>
  <si>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</si>
  <si>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</si>
  <si>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</si>
  <si>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</si>
  <si>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</si>
  <si>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</si>
  <si>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</si>
  <si>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</si>
  <si>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</si>
  <si>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</si>
  <si>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</si>
  <si>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</si>
  <si>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</si>
  <si>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</si>
  <si>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</si>
  <si>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</si>
  <si>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</si>
  <si>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</si>
  <si>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</si>
  <si>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</si>
  <si>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</si>
  <si>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</si>
  <si>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</si>
  <si>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</si>
  <si>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</si>
  <si>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</si>
  <si>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</si>
  <si>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</si>
  <si>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</si>
  <si>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</si>
  <si>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</si>
  <si>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</si>
  <si>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</si>
  <si>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</si>
  <si>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</si>
  <si>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</si>
  <si>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</si>
  <si>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</si>
  <si>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</si>
  <si>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</si>
  <si>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</si>
  <si>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</si>
  <si>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</si>
  <si>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</si>
  <si>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</si>
  <si>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</si>
  <si>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</si>
  <si>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</si>
  <si>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</si>
  <si>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</si>
  <si>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</si>
  <si>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</si>
  <si>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</si>
  <si>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</si>
  <si>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</si>
  <si>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</si>
  <si>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</si>
  <si>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</si>
  <si>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</si>
  <si>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</si>
  <si>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</si>
  <si>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</si>
  <si>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</si>
  <si>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</si>
  <si>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</si>
  <si>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</si>
  <si>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</si>
  <si>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</si>
  <si>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</si>
  <si>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</si>
  <si>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</si>
  <si>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</si>
  <si>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</si>
  <si>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</si>
  <si>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</si>
  <si>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</si>
  <si>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</si>
  <si>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</si>
  <si>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</si>
  <si>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</si>
  <si>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</si>
  <si>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</si>
  <si>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</si>
  <si>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</si>
  <si>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</si>
  <si>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</si>
  <si>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</si>
  <si>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</si>
  <si>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</si>
  <si>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</si>
  <si>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</si>
  <si>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</si>
  <si>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</si>
  <si>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</si>
  <si>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</si>
  <si>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</si>
  <si>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</si>
  <si>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</si>
  <si>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</si>
  <si>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</si>
  <si>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</si>
  <si>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</si>
  <si>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</si>
  <si>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</si>
  <si>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</si>
  <si>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</si>
  <si>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</si>
  <si>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</si>
  <si>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</si>
  <si>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</si>
  <si>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</si>
  <si>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</si>
  <si>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</si>
  <si>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</si>
  <si>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</si>
  <si>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</si>
  <si>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</si>
  <si>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</si>
  <si>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</si>
  <si>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</si>
  <si>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</si>
  <si>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</si>
  <si>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</si>
  <si>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</si>
  <si>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</si>
  <si>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</si>
  <si>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</si>
  <si>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</si>
  <si>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</si>
  <si>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</si>
  <si>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</si>
  <si>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</si>
  <si>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</si>
  <si>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</si>
  <si>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</si>
  <si>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</si>
  <si>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</si>
  <si>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</si>
  <si>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</si>
  <si>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</si>
  <si>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</si>
  <si>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</si>
  <si>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</si>
  <si>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</si>
  <si>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</si>
  <si>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</si>
  <si>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</si>
  <si>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</si>
  <si>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</si>
  <si>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</si>
  <si>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</si>
  <si>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</si>
  <si>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</si>
  <si>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</si>
  <si>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</si>
  <si>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</si>
  <si>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</si>
  <si>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</si>
  <si>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</si>
  <si>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</si>
  <si>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</si>
  <si>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</si>
  <si>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</si>
  <si>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</si>
  <si>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</si>
  <si>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</si>
  <si>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</si>
  <si>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</si>
  <si>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</si>
  <si>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</si>
  <si>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</si>
  <si>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</si>
  <si>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</si>
  <si>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</si>
  <si>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</si>
  <si>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</si>
  <si>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</si>
  <si>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</si>
  <si>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</si>
  <si>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</si>
  <si>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</si>
  <si>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</si>
  <si>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</si>
  <si>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</si>
  <si>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</si>
  <si>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</si>
  <si>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</si>
  <si>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</si>
  <si>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</si>
  <si>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</si>
  <si>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</si>
  <si>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</si>
  <si>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</si>
  <si>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</si>
  <si>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</si>
  <si>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</si>
  <si>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</si>
  <si>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</si>
  <si>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</si>
  <si>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</si>
  <si>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</si>
  <si>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</si>
  <si>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</si>
  <si>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</si>
  <si>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</si>
  <si>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</si>
  <si>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</si>
  <si>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</si>
  <si>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</si>
  <si>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</si>
  <si>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</si>
  <si>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</si>
  <si>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</si>
  <si>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</si>
  <si>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</si>
  <si>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</si>
  <si>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</si>
  <si>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</si>
  <si>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</si>
  <si>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</si>
  <si>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</si>
  <si>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</si>
  <si>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</si>
  <si>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</si>
  <si>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</si>
  <si>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</si>
  <si>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</si>
  <si>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</si>
  <si>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</si>
  <si>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</si>
  <si>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</si>
  <si>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</si>
  <si>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</si>
  <si>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</si>
  <si>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</si>
  <si>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</si>
  <si>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</si>
  <si>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</si>
  <si>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</si>
  <si>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</si>
  <si>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</si>
  <si>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</si>
  <si>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</si>
  <si>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</si>
  <si>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</si>
  <si>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</si>
  <si>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</si>
  <si>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</si>
  <si>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</si>
  <si>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</si>
  <si>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</si>
  <si>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</si>
  <si>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</si>
  <si>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</si>
  <si>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</si>
  <si>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</si>
  <si>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</si>
  <si>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</si>
  <si>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</si>
  <si>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</si>
  <si>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</si>
  <si>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</si>
  <si>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</si>
  <si>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</si>
  <si>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</si>
  <si>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</si>
  <si>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</si>
  <si>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</si>
  <si>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</si>
  <si>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</si>
  <si>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</si>
  <si>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</si>
  <si>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</si>
  <si>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</si>
  <si>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</si>
  <si>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</si>
  <si>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</si>
  <si>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</si>
  <si>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</si>
  <si>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</si>
  <si>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</si>
  <si>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</si>
  <si>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</si>
  <si>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</si>
  <si>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</si>
  <si>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</si>
  <si>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</si>
  <si>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</si>
  <si>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</si>
  <si>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</si>
  <si>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</si>
  <si>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</si>
  <si>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</si>
  <si>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</si>
  <si>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</si>
  <si>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</si>
  <si>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</si>
  <si>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</si>
  <si>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</si>
  <si>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</si>
  <si>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</si>
  <si>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</si>
  <si>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</si>
  <si>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</si>
  <si>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</si>
  <si>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</si>
  <si>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</si>
  <si>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</si>
  <si>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</si>
  <si>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</si>
  <si>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</si>
  <si>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</si>
  <si>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</si>
  <si>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</si>
  <si>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</si>
  <si>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</si>
  <si>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</si>
  <si>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</si>
  <si>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</si>
  <si>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</si>
  <si>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</si>
  <si>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</si>
  <si>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</si>
  <si>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</si>
  <si>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</si>
  <si>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</si>
  <si>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</si>
  <si>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</si>
  <si>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</si>
  <si>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</si>
  <si>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</si>
  <si>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</si>
  <si>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</si>
  <si>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</si>
  <si>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</si>
  <si>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</si>
  <si>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</si>
  <si>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</si>
  <si>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</si>
  <si>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</si>
  <si>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</si>
  <si>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</si>
  <si>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</si>
  <si>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</si>
  <si>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</si>
  <si>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</si>
  <si>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</si>
  <si>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</si>
  <si>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</si>
  <si>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</si>
  <si>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</si>
  <si>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</si>
  <si>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</si>
  <si>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</si>
  <si>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</si>
  <si>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</si>
  <si>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</si>
  <si>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</si>
  <si>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</si>
  <si>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</si>
  <si>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</si>
  <si>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</si>
  <si>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</si>
  <si>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</si>
  <si>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</si>
  <si>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</si>
  <si>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</si>
  <si>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</si>
  <si>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</si>
  <si>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</si>
  <si>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</si>
  <si>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</si>
  <si>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</si>
  <si>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</si>
  <si>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</si>
  <si>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</si>
  <si>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</si>
  <si>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</si>
  <si>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</si>
  <si>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</si>
  <si>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</si>
  <si>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</si>
  <si>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</si>
  <si>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</si>
  <si>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</si>
  <si>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</si>
  <si>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</si>
  <si>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</si>
  <si>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</si>
  <si>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</si>
  <si>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</si>
  <si>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</si>
  <si>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</si>
  <si>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</si>
  <si>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</si>
  <si>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</si>
  <si>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</si>
  <si>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</si>
  <si>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</si>
  <si>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</si>
  <si>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</si>
  <si>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</si>
  <si>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</si>
  <si>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</si>
  <si>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</si>
  <si>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</si>
  <si>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</si>
  <si>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</si>
  <si>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</si>
  <si>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</si>
  <si>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</si>
  <si>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</si>
  <si>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</si>
  <si>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</si>
  <si>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</si>
  <si>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</si>
  <si>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</si>
  <si>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</si>
  <si>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</si>
  <si>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</si>
  <si>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</si>
  <si>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</si>
  <si>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</si>
  <si>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</si>
  <si>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</si>
  <si>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</si>
  <si>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</si>
  <si>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</si>
  <si>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</si>
  <si>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</si>
  <si>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</si>
  <si>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</si>
  <si>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</si>
  <si>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</si>
  <si>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</si>
  <si>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</si>
  <si>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</si>
  <si>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</si>
  <si>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</si>
  <si>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</si>
  <si>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</si>
  <si>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</si>
  <si>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</si>
  <si>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</si>
  <si>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</si>
  <si>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</si>
  <si>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</si>
  <si>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</si>
  <si>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</si>
  <si>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</si>
  <si>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</si>
  <si>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</si>
  <si>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</si>
  <si>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</si>
  <si>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</si>
  <si>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</si>
  <si>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</si>
  <si>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</si>
  <si>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</si>
  <si>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</si>
  <si>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</si>
  <si>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</si>
  <si>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</si>
  <si>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</si>
  <si>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</si>
  <si>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</si>
  <si>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</si>
  <si>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</si>
  <si>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</si>
  <si>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</si>
  <si>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</si>
  <si>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</si>
  <si>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</si>
  <si>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</si>
  <si>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</si>
  <si>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</si>
  <si>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</si>
  <si>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</si>
  <si>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</si>
  <si>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</si>
  <si>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</si>
  <si>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</si>
  <si>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</si>
  <si>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</si>
  <si>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</si>
  <si>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</si>
  <si>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</si>
  <si>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</si>
  <si>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</si>
  <si>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</si>
  <si>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</si>
  <si>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</si>
  <si>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</si>
  <si>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</si>
  <si>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</si>
  <si>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</si>
  <si>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</si>
  <si>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</si>
  <si>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</si>
  <si>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</si>
  <si>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</si>
  <si>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</si>
  <si>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</si>
  <si>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</si>
  <si>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</si>
  <si>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</si>
  <si>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</si>
  <si>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</si>
  <si>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</si>
  <si>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</si>
  <si>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</si>
  <si>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</si>
  <si>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</si>
  <si>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</si>
  <si>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</si>
  <si>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</si>
  <si>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</si>
  <si>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</si>
  <si>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</si>
  <si>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</si>
  <si>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</si>
  <si>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</si>
  <si>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</si>
  <si>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</si>
  <si>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</si>
  <si>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</si>
  <si>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</si>
  <si>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</si>
  <si>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</si>
  <si>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</si>
  <si>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</si>
  <si>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</si>
  <si>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</si>
  <si>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</si>
  <si>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</si>
  <si>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</si>
  <si>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</si>
  <si>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</si>
  <si>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</si>
  <si>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</si>
  <si>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</si>
  <si>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</si>
  <si>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</si>
  <si>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</si>
  <si>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</si>
  <si>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</si>
  <si>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</si>
  <si>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</si>
  <si>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</si>
  <si>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</si>
  <si>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</si>
  <si>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</si>
  <si>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</si>
  <si>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</si>
  <si>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</si>
  <si>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</si>
  <si>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</si>
  <si>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</si>
  <si>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</si>
  <si>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</si>
  <si>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</si>
  <si>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</si>
  <si>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</si>
  <si>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</si>
  <si>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</si>
  <si>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</si>
  <si>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</si>
  <si>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</si>
  <si>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</si>
  <si>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</si>
  <si>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</si>
  <si>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</si>
  <si>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</si>
  <si>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</si>
  <si>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</si>
  <si>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</si>
  <si>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</si>
  <si>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</si>
  <si>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</si>
  <si>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</si>
  <si>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</si>
  <si>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</si>
  <si>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</si>
  <si>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</si>
  <si>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</si>
  <si>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</si>
  <si>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</si>
  <si>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</si>
  <si>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</si>
  <si>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</si>
  <si>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</si>
  <si>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</si>
  <si>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</si>
  <si>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</si>
  <si>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</si>
  <si>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</si>
  <si>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</si>
  <si>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</si>
  <si>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</si>
  <si>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</si>
  <si>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</si>
  <si>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</si>
  <si>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</si>
  <si>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</si>
  <si>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</si>
  <si>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</si>
  <si>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</si>
  <si>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</si>
  <si>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</si>
  <si>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</si>
  <si>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</si>
  <si>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</si>
  <si>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</si>
  <si>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</si>
  <si>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</si>
  <si>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</si>
  <si>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</si>
  <si>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</si>
  <si>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</si>
  <si>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</si>
  <si>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</si>
  <si>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</si>
  <si>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</si>
  <si>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</si>
  <si>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</si>
  <si>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</si>
  <si>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</si>
  <si>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</si>
  <si>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</si>
  <si>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</si>
  <si>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</si>
  <si>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</si>
  <si>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</si>
  <si>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</si>
  <si>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</si>
  <si>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</si>
  <si>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</si>
  <si>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</si>
  <si>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</si>
  <si>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</si>
  <si>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</si>
  <si>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</si>
  <si>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</si>
  <si>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</si>
  <si>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</si>
  <si>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</si>
  <si>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</si>
  <si>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</si>
  <si>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</si>
  <si>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</si>
  <si>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</si>
  <si>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</si>
  <si>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</si>
  <si>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</si>
  <si>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</si>
  <si>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</si>
  <si>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</si>
  <si>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</si>
  <si>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</si>
  <si>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</si>
  <si>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</si>
  <si>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</si>
  <si>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</si>
  <si>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</si>
  <si>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</si>
  <si>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</si>
  <si>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</si>
  <si>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</si>
  <si>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</si>
  <si>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</si>
  <si>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</si>
  <si>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</si>
  <si>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</si>
  <si>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</si>
  <si>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</si>
  <si>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</si>
  <si>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</si>
  <si>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</si>
  <si>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</si>
  <si>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</si>
  <si>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</si>
  <si>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</si>
  <si>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</si>
  <si>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</si>
  <si>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</si>
  <si>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</si>
  <si>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</si>
  <si>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</si>
  <si>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</si>
  <si>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</si>
  <si>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</si>
  <si>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</si>
  <si>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</si>
  <si>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</si>
  <si>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</si>
  <si>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</si>
  <si>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</si>
  <si>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</si>
  <si>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</si>
  <si>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</si>
  <si>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</si>
  <si>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</si>
  <si>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</si>
  <si>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</si>
  <si>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</si>
  <si>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</si>
  <si>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</si>
  <si>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</si>
  <si>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</si>
  <si>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</si>
  <si>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</si>
  <si>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</si>
  <si>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</si>
  <si>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</si>
  <si>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</si>
  <si>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</si>
  <si>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</si>
  <si>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</si>
  <si>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</si>
  <si>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</si>
  <si>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</si>
  <si>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</si>
  <si>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</si>
  <si>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</si>
  <si>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</si>
  <si>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</si>
  <si>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</si>
  <si>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</si>
  <si>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</si>
  <si>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</si>
  <si>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</si>
  <si>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</si>
  <si>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</si>
  <si>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</si>
  <si>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</si>
  <si>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</si>
  <si>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</si>
  <si>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</si>
  <si>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</si>
  <si>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</si>
  <si>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</si>
  <si>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</si>
  <si>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</si>
  <si>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</si>
  <si>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</si>
  <si>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</si>
  <si>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</si>
  <si>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</si>
  <si>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</si>
  <si>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</si>
  <si>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</si>
  <si>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</si>
  <si>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</si>
  <si>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</si>
  <si>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</si>
  <si>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</si>
  <si>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</si>
  <si>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</si>
  <si>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</si>
  <si>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</si>
  <si>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</si>
  <si>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</si>
  <si>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</si>
  <si>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</si>
  <si>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</si>
  <si>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</si>
  <si>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</si>
  <si>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</si>
  <si>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</si>
  <si>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</si>
  <si>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</si>
  <si>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</si>
  <si>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</si>
  <si>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</si>
  <si>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</si>
  <si>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</si>
  <si>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</si>
  <si>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</si>
  <si>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</si>
  <si>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</si>
  <si>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</si>
  <si>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</si>
  <si>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</si>
  <si>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</si>
  <si>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</si>
  <si>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</si>
  <si>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</si>
  <si>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</si>
  <si>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</si>
  <si>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</si>
  <si>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</si>
  <si>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</si>
  <si>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</si>
  <si>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</si>
  <si>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</si>
  <si>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</si>
  <si>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</si>
  <si>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</si>
  <si>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</si>
  <si>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</si>
  <si>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</si>
  <si>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</si>
  <si>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</si>
  <si>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</si>
  <si>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</si>
  <si>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</si>
  <si>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</si>
  <si>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</si>
  <si>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</si>
  <si>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</si>
  <si>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</si>
  <si>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</si>
  <si>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</si>
  <si>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</si>
  <si>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</si>
  <si>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</si>
  <si>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</si>
  <si>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</si>
  <si>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</si>
  <si>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</si>
  <si>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</si>
  <si>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</si>
  <si>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</si>
  <si>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</si>
  <si>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</si>
  <si>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</si>
  <si>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</si>
  <si>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</si>
  <si>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</si>
  <si>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</si>
  <si>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</si>
  <si>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</si>
  <si>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</si>
  <si>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</si>
  <si>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</si>
  <si>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</si>
  <si>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</si>
  <si>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</si>
  <si>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</si>
  <si>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</si>
  <si>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</si>
  <si>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</si>
  <si>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</si>
  <si>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</si>
  <si>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</si>
  <si>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</si>
  <si>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</si>
  <si>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</si>
  <si>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</si>
  <si>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</si>
  <si>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</si>
  <si>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</si>
  <si>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</si>
  <si>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</si>
  <si>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</si>
  <si>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</si>
  <si>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</si>
  <si>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</si>
  <si>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</si>
  <si>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</si>
  <si>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</si>
  <si>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</si>
  <si>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</si>
  <si>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</si>
  <si>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</si>
  <si>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</si>
  <si>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</si>
  <si>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</si>
  <si>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</si>
  <si>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</si>
  <si>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</si>
  <si>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</si>
  <si>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</si>
  <si>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</si>
  <si>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</si>
  <si>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</si>
  <si>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</si>
  <si>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</si>
  <si>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</si>
  <si>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</si>
  <si>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</si>
  <si>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</si>
  <si>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</si>
  <si>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</si>
  <si>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</si>
  <si>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</si>
  <si>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</si>
  <si>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</si>
  <si>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</si>
  <si>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</si>
  <si>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</si>
  <si>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</si>
  <si>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</si>
  <si>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</si>
  <si>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</si>
  <si>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</si>
  <si>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</si>
  <si>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</si>
  <si>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</si>
  <si>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</si>
  <si>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</si>
  <si>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</si>
  <si>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</si>
  <si>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</si>
  <si>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</si>
  <si>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</si>
  <si>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</si>
  <si>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</si>
  <si>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</si>
  <si>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</si>
  <si>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</si>
  <si>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</si>
  <si>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</si>
  <si>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</si>
  <si>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</si>
  <si>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</si>
  <si>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</si>
  <si>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</si>
  <si>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</si>
  <si>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</si>
  <si>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</si>
  <si>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</si>
  <si>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</si>
  <si>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</si>
  <si>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</si>
  <si>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</si>
  <si>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</si>
  <si>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</si>
  <si>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</si>
  <si>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</si>
  <si>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</si>
  <si>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</si>
  <si>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</si>
  <si>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</si>
  <si>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</si>
  <si>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</si>
  <si>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</si>
  <si>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</si>
  <si>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</si>
  <si>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</si>
  <si>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</si>
  <si>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</si>
  <si>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</si>
  <si>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</si>
  <si>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</si>
  <si>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</si>
  <si>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</si>
  <si>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</si>
  <si>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</si>
  <si>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</si>
  <si>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</si>
  <si>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</si>
  <si>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</si>
  <si>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</si>
  <si>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</si>
  <si>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</si>
  <si>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</si>
  <si>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</si>
  <si>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</si>
  <si>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</si>
  <si>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</si>
  <si>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</si>
  <si>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</si>
  <si>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</si>
  <si>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</si>
  <si>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</si>
  <si>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</si>
  <si>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</si>
  <si>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</si>
  <si>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</si>
  <si>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</si>
  <si>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</si>
  <si>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</si>
  <si>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</si>
  <si>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</si>
  <si>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</si>
  <si>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</si>
  <si>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</si>
  <si>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</si>
  <si>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</si>
  <si>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</si>
  <si>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</si>
  <si>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</si>
  <si>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</si>
  <si>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</si>
  <si>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</si>
  <si>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</si>
  <si>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</si>
  <si>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</si>
  <si>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</si>
  <si>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</si>
  <si>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</si>
  <si>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</si>
  <si>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</si>
  <si>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</si>
  <si>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</si>
  <si>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</si>
  <si>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</si>
  <si>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</si>
  <si>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</si>
  <si>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</si>
  <si>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</si>
  <si>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</si>
  <si>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</si>
  <si>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</si>
  <si>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</si>
  <si>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</si>
  <si>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</si>
  <si>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</si>
  <si>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</si>
  <si>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</si>
  <si>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</si>
  <si>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</si>
  <si>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</si>
  <si>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</si>
  <si>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</si>
  <si>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</si>
  <si>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</si>
  <si>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</si>
  <si>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</si>
  <si>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</si>
  <si>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</si>
  <si>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</si>
  <si>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</si>
  <si>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</si>
  <si>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</si>
  <si>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</si>
  <si>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</si>
  <si>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</si>
  <si>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</si>
  <si>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</si>
  <si>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</si>
  <si>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</si>
  <si>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</si>
  <si>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</si>
  <si>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</si>
  <si>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</si>
  <si>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</si>
  <si>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</si>
  <si>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</si>
  <si>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</si>
  <si>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</si>
  <si>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</si>
  <si>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</si>
  <si>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</si>
  <si>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</si>
  <si>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</si>
  <si>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</si>
  <si>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</si>
  <si>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</si>
  <si>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</si>
  <si>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</si>
  <si>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</si>
  <si>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</si>
  <si>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</si>
  <si>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</si>
  <si>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</si>
  <si>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</si>
  <si>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</si>
  <si>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</si>
  <si>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</si>
  <si>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</si>
  <si>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</si>
  <si>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</si>
  <si>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</si>
  <si>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</si>
  <si>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</si>
  <si>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</si>
  <si>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</si>
  <si>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</si>
  <si>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</si>
  <si>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</si>
  <si>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</si>
  <si>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</si>
  <si>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</si>
  <si>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</si>
  <si>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</si>
  <si>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</si>
  <si>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</si>
  <si>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</si>
  <si>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</si>
  <si>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</si>
  <si>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</si>
  <si>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</si>
  <si>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</si>
  <si>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</si>
  <si>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</si>
  <si>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</si>
  <si>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</si>
  <si>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</si>
  <si>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</si>
  <si>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</si>
  <si>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</si>
  <si>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</si>
  <si>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</si>
  <si>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</si>
  <si>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</si>
  <si>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</si>
  <si>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</si>
  <si>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</si>
  <si>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</si>
  <si>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</si>
  <si>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</si>
  <si>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</si>
  <si>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</si>
  <si>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</si>
  <si>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</si>
  <si>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</si>
  <si>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</si>
  <si>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</si>
  <si>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</si>
  <si>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</si>
  <si>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</si>
  <si>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</si>
  <si>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</si>
  <si>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</si>
  <si>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</si>
  <si>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</si>
  <si>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</si>
  <si>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</si>
  <si>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</si>
  <si>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</si>
  <si>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</si>
  <si>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</si>
  <si>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</si>
  <si>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</si>
  <si>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</si>
  <si>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</si>
  <si>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</si>
  <si>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</si>
  <si>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</si>
  <si>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</si>
  <si>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</si>
  <si>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</si>
  <si>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</si>
  <si>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</si>
  <si>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</si>
  <si>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</si>
  <si>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</si>
  <si>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</si>
  <si>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</si>
  <si>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</si>
  <si>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</si>
  <si>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</si>
  <si>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</si>
  <si>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</si>
  <si>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</si>
  <si>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</si>
  <si>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</si>
  <si>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</si>
  <si>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</si>
  <si>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</si>
  <si>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</si>
  <si>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</si>
  <si>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</si>
  <si>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</si>
  <si>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</si>
  <si>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</si>
  <si>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</si>
  <si>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</si>
  <si>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</si>
  <si>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</si>
  <si>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</si>
  <si>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</si>
  <si>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</si>
  <si>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</si>
  <si>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</si>
  <si>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</si>
  <si>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</si>
  <si>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</si>
  <si>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</si>
  <si>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</si>
  <si>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</si>
  <si>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</si>
  <si>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</si>
  <si>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</si>
  <si>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</si>
  <si>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</si>
  <si>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</si>
  <si>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</si>
  <si>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</si>
  <si>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</si>
  <si>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</si>
  <si>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</si>
  <si>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</si>
  <si>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</si>
  <si>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</si>
  <si>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</si>
  <si>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</si>
  <si>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</si>
  <si>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</si>
  <si>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</si>
  <si>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</si>
  <si>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</si>
  <si>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</si>
  <si>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</si>
  <si>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</si>
  <si>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</si>
  <si>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</si>
  <si>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</si>
  <si>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</si>
  <si>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</si>
  <si>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</si>
  <si>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</si>
  <si>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</si>
  <si>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</si>
  <si>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</si>
  <si>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</si>
  <si>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</si>
  <si>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</si>
  <si>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</si>
  <si>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</si>
  <si>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</si>
  <si>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</si>
  <si>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</si>
  <si>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</si>
  <si>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</si>
  <si>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</si>
  <si>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</si>
  <si>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</si>
  <si>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</si>
  <si>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</si>
  <si>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</si>
  <si>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</si>
  <si>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</si>
  <si>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</si>
  <si>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</si>
  <si>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</si>
  <si>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</si>
  <si>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</si>
  <si>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</si>
  <si>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</si>
  <si>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</si>
  <si>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</si>
  <si>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</si>
  <si>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</si>
  <si>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</si>
  <si>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</si>
  <si>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</si>
  <si>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</si>
  <si>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</si>
  <si>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</si>
  <si>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</si>
  <si>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</si>
  <si>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</si>
  <si>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</si>
  <si>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</si>
  <si>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</si>
  <si>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</si>
  <si>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</si>
  <si>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</si>
  <si>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</si>
  <si>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</si>
  <si>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</si>
  <si>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</si>
  <si>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</si>
  <si>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</si>
  <si>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</si>
  <si>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</si>
  <si>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</si>
  <si>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</si>
  <si>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</si>
  <si>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</si>
  <si>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</si>
  <si>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</si>
  <si>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</si>
  <si>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</si>
  <si>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</si>
  <si>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</si>
  <si>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</si>
  <si>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</si>
  <si>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</si>
  <si>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</si>
  <si>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</si>
  <si>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</si>
  <si>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</si>
  <si>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</si>
  <si>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</si>
  <si>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</si>
  <si>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</si>
  <si>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</si>
  <si>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</si>
  <si>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</si>
  <si>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</si>
  <si>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</si>
  <si>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</si>
  <si>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</si>
  <si>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</si>
  <si>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</si>
  <si>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</si>
  <si>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</si>
  <si>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</si>
  <si>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</si>
  <si>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</si>
  <si>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</si>
  <si>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</si>
  <si>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</si>
  <si>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</si>
  <si>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</si>
  <si>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</si>
  <si>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</si>
  <si>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</si>
  <si>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</si>
  <si>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</si>
  <si>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</si>
  <si>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</si>
  <si>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</si>
  <si>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</si>
  <si>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</si>
  <si>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</si>
  <si>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</si>
  <si>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</si>
  <si>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</si>
  <si>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</si>
  <si>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</si>
  <si>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</si>
  <si>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</si>
  <si>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</si>
  <si>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</si>
  <si>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</si>
  <si>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</si>
  <si>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</si>
  <si>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</si>
  <si>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</si>
  <si>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</si>
  <si>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</si>
  <si>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</si>
  <si>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</si>
  <si>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</si>
  <si>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</si>
  <si>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</si>
  <si>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</si>
  <si>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</si>
  <si>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</si>
  <si>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</si>
  <si>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</si>
  <si>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</si>
  <si>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</si>
  <si>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</si>
  <si>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</si>
  <si>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</si>
  <si>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</si>
  <si>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</si>
  <si>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</si>
  <si>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</si>
  <si>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</si>
  <si>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</si>
  <si>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</si>
  <si>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</si>
  <si>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</si>
  <si>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</si>
  <si>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</si>
  <si>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</si>
  <si>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</si>
  <si>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</si>
  <si>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</si>
  <si>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</si>
  <si>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</si>
  <si>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</si>
  <si>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</si>
  <si>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</si>
  <si>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</si>
  <si>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</si>
  <si>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</si>
  <si>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</si>
  <si>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</si>
  <si>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</si>
  <si>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</si>
  <si>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</si>
  <si>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</si>
  <si>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</si>
  <si>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</si>
  <si>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</si>
  <si>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</si>
  <si>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</si>
  <si>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</si>
  <si>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</si>
  <si>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</si>
  <si>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</si>
  <si>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</si>
  <si>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</si>
  <si>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</si>
  <si>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</si>
  <si>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</si>
  <si>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</si>
  <si>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</si>
  <si>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</si>
  <si>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</si>
  <si>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</si>
  <si>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</si>
  <si>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</si>
  <si>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</si>
  <si>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</si>
  <si>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</si>
  <si>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</si>
  <si>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</si>
  <si>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</si>
  <si>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</si>
  <si>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</si>
  <si>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</si>
  <si>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</si>
  <si>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</si>
  <si>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</si>
  <si>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</si>
  <si>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</si>
  <si>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</si>
  <si>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</si>
  <si>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</si>
  <si>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</si>
  <si>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</si>
  <si>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</si>
  <si>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</si>
  <si>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</si>
  <si>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</si>
  <si>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</si>
  <si>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</si>
  <si>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</si>
  <si>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</si>
  <si>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</si>
  <si>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</si>
  <si>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</si>
  <si>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</si>
  <si>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</si>
  <si>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</si>
  <si>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</si>
  <si>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</si>
  <si>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</si>
  <si>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</si>
  <si>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</si>
  <si>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</si>
  <si>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</si>
  <si>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</si>
  <si>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</si>
  <si>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</si>
  <si>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</si>
  <si>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</si>
  <si>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</si>
  <si>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</si>
  <si>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</si>
  <si>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</si>
  <si>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</si>
  <si>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</si>
  <si>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</si>
  <si>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</si>
  <si>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</si>
  <si>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</si>
  <si>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</si>
  <si>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</si>
  <si>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</si>
  <si>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</si>
  <si>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</si>
  <si>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</si>
  <si>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</si>
  <si>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</si>
  <si>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</si>
  <si>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</si>
  <si>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</si>
  <si>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</si>
  <si>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</si>
  <si>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</si>
  <si>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</si>
  <si>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</si>
  <si>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</si>
  <si>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</si>
  <si>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</si>
  <si>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</si>
  <si>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</si>
  <si>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</si>
  <si>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</si>
  <si>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</si>
  <si>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</si>
  <si>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</si>
  <si>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</si>
  <si>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</si>
  <si>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</si>
  <si>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</si>
  <si>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</si>
  <si>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</si>
  <si>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</si>
  <si>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</si>
  <si>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</si>
  <si>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</si>
  <si>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</si>
  <si>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</si>
  <si>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</si>
  <si>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</si>
  <si>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</si>
  <si>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</si>
  <si>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</si>
  <si>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</si>
  <si>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</si>
  <si>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</si>
  <si>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</si>
  <si>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</si>
  <si>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</si>
  <si>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</si>
  <si>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</si>
  <si>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</si>
  <si>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</si>
  <si>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</si>
  <si>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</si>
  <si>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</si>
  <si>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</si>
  <si>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</si>
  <si>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</si>
  <si>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</si>
  <si>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</si>
  <si>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</si>
  <si>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</si>
  <si>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</si>
  <si>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</si>
  <si>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</si>
  <si>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</si>
  <si>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</si>
  <si>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</si>
  <si>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</si>
  <si>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</si>
  <si>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</si>
  <si>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</si>
  <si>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</si>
  <si>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</si>
  <si>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</si>
  <si>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</si>
  <si>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</si>
  <si>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</si>
  <si>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</si>
  <si>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</si>
  <si>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</si>
  <si>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</si>
  <si>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</si>
  <si>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</si>
  <si>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</si>
  <si>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</si>
  <si>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</si>
  <si>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</si>
  <si>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</si>
  <si>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</si>
  <si>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</si>
  <si>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</si>
  <si>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</si>
  <si>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</si>
  <si>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</si>
  <si>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</si>
  <si>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</si>
  <si>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</si>
  <si>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</si>
  <si>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</si>
  <si>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</si>
  <si>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</si>
  <si>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</si>
  <si>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</si>
  <si>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</si>
  <si>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</si>
  <si>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</si>
  <si>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</si>
  <si>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</si>
  <si>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</si>
  <si>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</si>
  <si>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</si>
  <si>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</si>
  <si>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</si>
  <si>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</si>
  <si>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</si>
  <si>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</si>
  <si>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</si>
  <si>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</si>
  <si>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</si>
  <si>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</si>
  <si>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</si>
  <si>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</si>
  <si>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</si>
  <si>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</si>
  <si>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</si>
  <si>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</si>
  <si>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</si>
  <si>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</si>
  <si>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</si>
  <si>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</si>
  <si>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</si>
  <si>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</si>
  <si>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</si>
  <si>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</si>
  <si>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</si>
  <si>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</si>
  <si>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</si>
  <si>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</si>
  <si>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</si>
  <si>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</si>
  <si>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</si>
  <si>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</si>
  <si>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</si>
  <si>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</si>
  <si>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</si>
  <si>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</si>
  <si>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</si>
  <si>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</si>
  <si>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</si>
  <si>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</si>
  <si>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</si>
  <si>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</si>
  <si>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</si>
  <si>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</si>
  <si>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</si>
  <si>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</si>
  <si>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</si>
  <si>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</si>
  <si>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</si>
  <si>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</si>
  <si>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</si>
  <si>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</si>
  <si>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</si>
  <si>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</si>
  <si>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</si>
  <si>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</si>
  <si>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</si>
  <si>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</si>
  <si>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</si>
  <si>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</si>
  <si>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</si>
  <si>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</si>
  <si>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</si>
  <si>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</si>
  <si>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</si>
  <si>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</si>
  <si>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</si>
  <si>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</si>
  <si>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</si>
  <si>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</si>
  <si>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</si>
  <si>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</si>
  <si>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</si>
  <si>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</si>
  <si>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</si>
  <si>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</si>
  <si>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</si>
  <si>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</si>
  <si>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</si>
  <si>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</si>
  <si>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</si>
  <si>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</si>
  <si>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</si>
  <si>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</si>
  <si>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</si>
  <si>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</si>
  <si>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</si>
  <si>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</si>
  <si>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</si>
  <si>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</si>
  <si>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</si>
  <si>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</si>
  <si>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</si>
  <si>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</si>
  <si>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</si>
  <si>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</si>
  <si>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</si>
  <si>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</si>
  <si>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</si>
  <si>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</si>
  <si>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</si>
  <si>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</si>
  <si>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</si>
  <si>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</si>
  <si>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</si>
  <si>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</si>
  <si>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</si>
  <si>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</si>
  <si>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</si>
  <si>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</si>
  <si>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</si>
  <si>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</si>
  <si>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</si>
  <si>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</si>
  <si>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</si>
  <si>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</si>
  <si>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</si>
  <si>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</si>
  <si>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</si>
  <si>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</si>
  <si>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</si>
  <si>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</si>
  <si>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</si>
  <si>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</si>
  <si>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</si>
  <si>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</si>
  <si>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</si>
  <si>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</si>
  <si>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</si>
  <si>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</si>
  <si>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</si>
  <si>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</si>
  <si>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</si>
  <si>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</si>
  <si>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</si>
  <si>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</si>
  <si>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</si>
  <si>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</si>
  <si>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</si>
  <si>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</si>
  <si>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</si>
  <si>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</si>
  <si>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</si>
  <si>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</si>
  <si>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</si>
  <si>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</si>
  <si>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</si>
  <si>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</si>
  <si>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</si>
  <si>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</si>
  <si>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</si>
  <si>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</si>
  <si>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</si>
  <si>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</si>
  <si>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</si>
  <si>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</si>
  <si>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</si>
  <si>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</si>
  <si>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</si>
  <si>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</si>
  <si>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</si>
  <si>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</si>
  <si>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</si>
  <si>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</si>
  <si>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</si>
  <si>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</si>
  <si>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</si>
  <si>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</si>
  <si>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</si>
  <si>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</si>
  <si>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</si>
  <si>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</si>
  <si>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</si>
  <si>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</si>
  <si>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</si>
  <si>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</si>
  <si>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</si>
  <si>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</si>
  <si>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</si>
  <si>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</si>
  <si>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</si>
  <si>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</si>
  <si>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</si>
  <si>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</si>
  <si>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</si>
  <si>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</si>
  <si>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</si>
  <si>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</si>
  <si>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</si>
  <si>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</si>
  <si>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</si>
  <si>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</si>
  <si>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</si>
  <si>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</si>
  <si>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</si>
  <si>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</si>
  <si>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</si>
  <si>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</si>
  <si>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</si>
  <si>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</si>
  <si>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</si>
  <si>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</si>
  <si>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</si>
  <si>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</si>
  <si>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</si>
  <si>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</si>
  <si>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</si>
  <si>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</si>
  <si>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</si>
  <si>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</si>
  <si>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</si>
  <si>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</si>
  <si>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</si>
  <si>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</si>
  <si>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</si>
  <si>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</si>
  <si>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</si>
  <si>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</si>
  <si>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</si>
  <si>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</si>
  <si>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</si>
  <si>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</si>
  <si>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</si>
  <si>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</si>
  <si>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</si>
  <si>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</si>
  <si>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</si>
  <si>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</si>
  <si>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</si>
  <si>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</si>
  <si>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</si>
  <si>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</si>
  <si>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</si>
  <si>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</si>
  <si>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</si>
  <si>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</si>
  <si>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</si>
  <si>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</si>
  <si>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</si>
  <si>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</si>
  <si>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</si>
  <si>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</si>
  <si>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</si>
  <si>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</si>
  <si>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</si>
  <si>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</si>
  <si>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</si>
  <si>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</si>
  <si>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</si>
  <si>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</si>
  <si>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</si>
  <si>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</si>
  <si>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</si>
  <si>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</si>
  <si>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</si>
  <si>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</si>
  <si>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</si>
  <si>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</si>
  <si>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</si>
  <si>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</si>
  <si>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</si>
  <si>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</si>
  <si>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</si>
  <si>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</si>
  <si>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</si>
  <si>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</si>
  <si>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</si>
  <si>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</si>
  <si>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</si>
  <si>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</si>
  <si>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</si>
  <si>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</si>
  <si>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</si>
  <si>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</si>
  <si>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</si>
  <si>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</si>
  <si>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</si>
  <si>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</si>
  <si>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</si>
  <si>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</si>
  <si>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</si>
  <si>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</si>
  <si>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</si>
  <si>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</si>
  <si>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</si>
  <si>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</si>
  <si>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</si>
  <si>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</si>
  <si>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</si>
  <si>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</si>
  <si>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</si>
  <si>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</si>
  <si>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</si>
  <si>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</si>
  <si>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</si>
  <si>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</si>
  <si>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</si>
  <si>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</si>
  <si>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</si>
  <si>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</si>
  <si>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</si>
  <si>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</si>
  <si>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</si>
  <si>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</si>
  <si>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</si>
  <si>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</si>
  <si>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</si>
  <si>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</si>
  <si>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</si>
  <si>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</si>
  <si>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</si>
  <si>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</si>
  <si>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</si>
  <si>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</si>
  <si>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</si>
  <si>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</si>
  <si>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</si>
  <si>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</si>
  <si>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</si>
  <si>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</si>
  <si>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</si>
  <si>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</si>
  <si>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</si>
  <si>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</si>
  <si>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</si>
  <si>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</si>
  <si>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</si>
  <si>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</si>
  <si>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</si>
  <si>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</si>
  <si>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</si>
  <si>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</si>
  <si>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</si>
  <si>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</si>
  <si>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</si>
  <si>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</si>
  <si>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</si>
  <si>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</si>
  <si>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</si>
  <si>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</si>
  <si>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</si>
  <si>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</si>
  <si>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</si>
  <si>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</si>
  <si>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</si>
  <si>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</si>
  <si>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</si>
  <si>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</si>
  <si>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</si>
  <si>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</si>
  <si>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</si>
  <si>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</si>
  <si>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</si>
  <si>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</si>
  <si>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</si>
  <si>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</si>
  <si>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</si>
  <si>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</si>
  <si>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</si>
  <si>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</si>
  <si>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</si>
  <si>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</si>
  <si>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</si>
  <si>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</si>
  <si>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</si>
  <si>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</si>
  <si>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</si>
  <si>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</si>
  <si>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</si>
  <si>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</si>
  <si>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</si>
  <si>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</si>
  <si>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</si>
  <si>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</si>
  <si>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</si>
  <si>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</si>
  <si>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</si>
  <si>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</si>
  <si>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</si>
  <si>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</si>
  <si>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</si>
  <si>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</si>
  <si>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</si>
  <si>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</si>
  <si>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</si>
  <si>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</si>
  <si>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</si>
  <si>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</si>
  <si>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</si>
  <si>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</si>
  <si>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</si>
  <si>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</si>
  <si>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</si>
  <si>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</si>
  <si>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</si>
  <si>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</si>
  <si>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</si>
  <si>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</si>
  <si>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</si>
  <si>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</si>
  <si>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</si>
  <si>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</si>
  <si>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</si>
  <si>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</si>
  <si>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</si>
  <si>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</si>
  <si>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</si>
  <si>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</si>
  <si>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</si>
  <si>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</si>
  <si>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</si>
  <si>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</si>
  <si>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</si>
  <si>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</si>
  <si>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</si>
  <si>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</si>
  <si>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</si>
  <si>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</si>
  <si>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</si>
  <si>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</si>
  <si>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</si>
  <si>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</si>
  <si>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</si>
  <si>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</si>
  <si>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</si>
  <si>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</si>
  <si>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</si>
  <si>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</si>
  <si>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</si>
  <si>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</si>
  <si>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</si>
  <si>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</si>
  <si>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</si>
  <si>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</si>
  <si>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</si>
  <si>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</si>
  <si>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</si>
  <si>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</si>
  <si>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</si>
  <si>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</si>
  <si>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</si>
  <si>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</si>
  <si>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</si>
  <si>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</si>
  <si>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</si>
  <si>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</si>
  <si>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</si>
  <si>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</si>
  <si>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</si>
  <si>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</si>
  <si>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</si>
  <si>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</si>
  <si>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</si>
  <si>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</si>
  <si>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</si>
  <si>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</si>
  <si>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</si>
  <si>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</si>
  <si>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</si>
  <si>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</si>
  <si>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</si>
  <si>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</si>
  <si>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</si>
  <si>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</si>
  <si>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</si>
  <si>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</si>
  <si>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</si>
  <si>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</si>
  <si>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</si>
  <si>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</si>
  <si>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</si>
  <si>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</si>
  <si>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</si>
  <si>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</si>
  <si>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</si>
  <si>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</si>
  <si>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</si>
  <si>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</si>
  <si>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</si>
  <si>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</si>
  <si>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</si>
  <si>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</si>
  <si>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</si>
  <si>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</si>
  <si>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</si>
  <si>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</si>
  <si>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</si>
  <si>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</si>
  <si>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</si>
  <si>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</si>
  <si>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</si>
  <si>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</si>
  <si>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</si>
  <si>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</si>
  <si>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</si>
  <si>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</si>
  <si>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</si>
  <si>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</si>
  <si>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</si>
  <si>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</si>
  <si>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</si>
  <si>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</si>
  <si>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</si>
  <si>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</si>
  <si>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</si>
  <si>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</si>
  <si>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</si>
  <si>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</si>
  <si>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</si>
  <si>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</si>
  <si>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</si>
  <si>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</si>
  <si>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</si>
  <si>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</si>
  <si>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</si>
  <si>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</si>
  <si>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</si>
  <si>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</si>
  <si>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</si>
  <si>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</si>
  <si>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</si>
  <si>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</si>
  <si>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</si>
  <si>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</si>
  <si>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</si>
  <si>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</si>
  <si>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</si>
  <si>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</si>
  <si>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</si>
  <si>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</si>
  <si>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</si>
  <si>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</si>
  <si>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</si>
  <si>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</si>
  <si>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</si>
  <si>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</si>
  <si>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</si>
  <si>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</si>
  <si>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</si>
  <si>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</si>
  <si>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</si>
  <si>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</si>
  <si>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</si>
  <si>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</si>
  <si>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</si>
  <si>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</si>
  <si>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</si>
  <si>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</si>
  <si>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</si>
  <si>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</si>
  <si>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</si>
  <si>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</si>
  <si>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</si>
  <si>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</si>
  <si>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</si>
  <si>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</si>
  <si>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</si>
  <si>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</si>
  <si>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</si>
  <si>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</si>
  <si>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</si>
  <si>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</si>
  <si>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</si>
  <si>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</si>
  <si>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</si>
  <si>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</si>
  <si>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</si>
  <si>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</si>
  <si>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</si>
  <si>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</si>
  <si>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</si>
  <si>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</si>
  <si>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</si>
  <si>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</si>
  <si>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</si>
  <si>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</si>
  <si>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</si>
  <si>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</si>
  <si>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</si>
  <si>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</si>
  <si>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</si>
  <si>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</si>
  <si>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</si>
  <si>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</si>
  <si>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</si>
  <si>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</si>
  <si>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</si>
  <si>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</si>
  <si>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</si>
  <si>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</si>
  <si>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</si>
  <si>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</si>
  <si>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</si>
  <si>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</si>
  <si>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</si>
  <si>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</si>
  <si>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</si>
  <si>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</si>
  <si>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</si>
  <si>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</si>
  <si>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</si>
  <si>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</si>
  <si>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</si>
  <si>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</si>
  <si>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</si>
  <si>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</si>
  <si>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</si>
  <si>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</si>
  <si>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</si>
  <si>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</si>
  <si>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</si>
  <si>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</si>
  <si>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</si>
  <si>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</si>
  <si>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</si>
  <si>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</si>
  <si>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</si>
  <si>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</si>
  <si>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</si>
  <si>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</si>
  <si>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</si>
  <si>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</si>
  <si>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</si>
  <si>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</si>
  <si>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</si>
  <si>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</si>
  <si>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</si>
  <si>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</si>
  <si>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</si>
  <si>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</si>
  <si>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</si>
  <si>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</si>
  <si>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</si>
  <si>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</si>
  <si>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</si>
  <si>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</si>
  <si>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</si>
  <si>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</si>
  <si>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</si>
  <si>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</si>
  <si>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</si>
  <si>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</si>
  <si>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</si>
  <si>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</si>
  <si>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</si>
  <si>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</si>
  <si>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</si>
  <si>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</si>
  <si>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</si>
  <si>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</si>
  <si>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</si>
  <si>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</si>
  <si>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</si>
  <si>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</si>
  <si>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</si>
  <si>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</si>
  <si>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</si>
  <si>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</si>
  <si>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</si>
  <si>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</si>
  <si>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</si>
  <si>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</si>
  <si>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</si>
  <si>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</si>
  <si>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</si>
  <si>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</si>
  <si>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</si>
  <si>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</si>
  <si>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</si>
  <si>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</si>
  <si>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</si>
  <si>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</si>
  <si>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</si>
  <si>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</si>
  <si>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</si>
  <si>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</si>
  <si>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</si>
  <si>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</si>
  <si>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</si>
  <si>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</si>
  <si>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</si>
  <si>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</si>
  <si>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</si>
  <si>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</si>
  <si>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</si>
  <si>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</si>
  <si>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</si>
  <si>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</si>
  <si>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</si>
  <si>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</si>
  <si>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</si>
  <si>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</si>
  <si>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</si>
  <si>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</si>
  <si>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</si>
  <si>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</si>
  <si>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</si>
  <si>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</si>
  <si>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</si>
  <si>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</si>
  <si>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</si>
  <si>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</si>
  <si>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</si>
  <si>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</si>
  <si>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</si>
  <si>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</si>
  <si>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</si>
  <si>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</si>
  <si>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</si>
  <si>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</si>
  <si>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</si>
  <si>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</si>
  <si>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</si>
  <si>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</si>
  <si>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</si>
  <si>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</si>
  <si>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</si>
  <si>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</si>
  <si>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</si>
  <si>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</si>
  <si>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</si>
  <si>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</si>
  <si>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</si>
  <si>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</si>
  <si>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</si>
  <si>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</si>
  <si>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</si>
  <si>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</si>
  <si>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</si>
  <si>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</si>
  <si>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</si>
  <si>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</si>
  <si>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</si>
  <si>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</si>
  <si>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</si>
  <si>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</si>
  <si>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</si>
  <si>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</si>
  <si>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</si>
  <si>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</si>
  <si>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</si>
  <si>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</si>
  <si>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</si>
  <si>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</si>
  <si>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</si>
  <si>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</si>
  <si>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</si>
  <si>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</si>
  <si>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</si>
  <si>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</si>
  <si>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</si>
  <si>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</si>
  <si>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</si>
  <si>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</si>
  <si>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</si>
  <si>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</si>
  <si>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</si>
  <si>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</si>
  <si>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</si>
  <si>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</si>
  <si>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</si>
  <si>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</si>
  <si>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</si>
  <si>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</si>
  <si>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</si>
  <si>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</si>
  <si>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</si>
  <si>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</si>
  <si>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</si>
  <si>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</si>
  <si>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</si>
  <si>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</si>
  <si>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</si>
  <si>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</si>
  <si>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</si>
  <si>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</si>
  <si>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</si>
  <si>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</si>
  <si>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</si>
  <si>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</si>
  <si>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</si>
  <si>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</si>
  <si>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</si>
  <si>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</si>
  <si>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</si>
  <si>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</si>
  <si>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</si>
  <si>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</si>
  <si>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</si>
  <si>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</si>
  <si>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</si>
  <si>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</si>
  <si>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</si>
  <si>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</si>
  <si>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</si>
  <si>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</si>
  <si>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</si>
  <si>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</si>
  <si>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</si>
  <si>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</si>
  <si>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</si>
  <si>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</si>
  <si>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</si>
  <si>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</si>
  <si>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</si>
  <si>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</si>
  <si>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</si>
  <si>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</si>
  <si>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</si>
  <si>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</si>
  <si>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</si>
  <si>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</si>
  <si>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</si>
  <si>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</si>
  <si>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</si>
  <si>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</si>
  <si>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</si>
  <si>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</si>
  <si>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</si>
  <si>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</si>
  <si>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</si>
  <si>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</si>
  <si>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</si>
  <si>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</si>
  <si>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</si>
  <si>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</si>
  <si>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</si>
  <si>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</si>
  <si>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</si>
  <si>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</si>
  <si>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</si>
  <si>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</si>
  <si>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</si>
  <si>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</si>
  <si>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</si>
  <si>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</si>
  <si>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</si>
  <si>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</si>
  <si>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</si>
  <si>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</si>
  <si>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</si>
  <si>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</si>
  <si>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</si>
  <si>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</si>
  <si>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</si>
  <si>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</si>
  <si>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</si>
  <si>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</si>
  <si>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</si>
  <si>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</si>
  <si>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</si>
  <si>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</si>
  <si>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</si>
  <si>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</si>
  <si>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</si>
  <si>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</si>
  <si>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</si>
  <si>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</si>
  <si>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</si>
  <si>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</si>
  <si>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</si>
  <si>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</si>
  <si>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</si>
  <si>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</si>
  <si>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</si>
  <si>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</si>
  <si>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</si>
  <si>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</si>
  <si>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</si>
  <si>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</si>
  <si>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</si>
  <si>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</si>
  <si>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</si>
  <si>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</si>
  <si>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</si>
  <si>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</si>
  <si>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</si>
  <si>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</si>
  <si>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</si>
  <si>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</si>
  <si>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</si>
  <si>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</si>
  <si>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</si>
  <si>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</si>
  <si>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</si>
  <si>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</si>
  <si>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</si>
  <si>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</si>
  <si>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</si>
  <si>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</si>
  <si>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</si>
  <si>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</si>
  <si>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</si>
  <si>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</si>
  <si>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</si>
  <si>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</si>
  <si>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</si>
  <si>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</si>
  <si>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</si>
  <si>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</si>
  <si>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</si>
  <si>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</si>
  <si>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</si>
  <si>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</si>
  <si>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</si>
  <si>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</si>
  <si>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</si>
  <si>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</si>
  <si>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</si>
  <si>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</si>
  <si>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</si>
  <si>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</si>
  <si>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</si>
  <si>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</si>
  <si>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</si>
  <si>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</si>
  <si>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</si>
  <si>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</si>
  <si>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</si>
  <si>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</si>
  <si>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</si>
  <si>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</si>
  <si>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</si>
  <si>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</si>
  <si>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</si>
  <si>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</si>
  <si>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</si>
  <si>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</si>
  <si>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</si>
  <si>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</si>
  <si>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</si>
  <si>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</si>
  <si>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</si>
  <si>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</si>
  <si>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</si>
  <si>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</si>
  <si>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</si>
  <si>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</si>
  <si>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</si>
  <si>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</si>
  <si>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</si>
  <si>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</si>
  <si>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</si>
  <si>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</si>
  <si>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</si>
  <si>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</si>
  <si>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</si>
  <si>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</si>
  <si>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</si>
  <si>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</si>
  <si>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</si>
  <si>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</si>
  <si>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</si>
  <si>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</si>
  <si>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</si>
  <si>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</si>
  <si>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</si>
  <si>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</si>
  <si>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</si>
  <si>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</si>
  <si>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</si>
  <si>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</si>
  <si>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</si>
  <si>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</si>
  <si>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</si>
  <si>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</si>
  <si>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</si>
  <si>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</si>
  <si>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</si>
  <si>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</si>
  <si>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</si>
  <si>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</si>
  <si>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</si>
  <si>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</si>
  <si>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</si>
  <si>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</si>
  <si>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</si>
  <si>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</si>
  <si>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</si>
  <si>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</si>
  <si>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</si>
  <si>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</si>
  <si>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</si>
  <si>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</si>
  <si>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</si>
  <si>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</si>
  <si>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</si>
  <si>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</si>
  <si>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</si>
  <si>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</si>
  <si>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</si>
  <si>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</si>
  <si>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</si>
  <si>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</si>
  <si>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</si>
  <si>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</si>
  <si>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</si>
  <si>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</si>
  <si>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</si>
  <si>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</si>
  <si>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</si>
  <si>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</si>
  <si>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</si>
  <si>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</si>
  <si>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</si>
  <si>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</si>
  <si>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</si>
  <si>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</si>
  <si>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</si>
  <si>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</si>
  <si>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</si>
  <si>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</si>
  <si>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</si>
  <si>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</si>
  <si>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</si>
  <si>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</si>
  <si>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</si>
  <si>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</si>
  <si>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</si>
  <si>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</si>
  <si>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</si>
  <si>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</si>
  <si>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</si>
  <si>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</si>
  <si>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</si>
  <si>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</si>
  <si>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</si>
  <si>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</si>
  <si>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</si>
  <si>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</si>
  <si>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</si>
  <si>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</si>
  <si>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</si>
  <si>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</si>
  <si>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</si>
  <si>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</si>
  <si>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</si>
  <si>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</si>
  <si>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</si>
  <si>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</si>
  <si>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</si>
  <si>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</si>
  <si>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</si>
  <si>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</si>
  <si>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</si>
  <si>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</si>
  <si>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</si>
  <si>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</si>
  <si>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</si>
  <si>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</si>
  <si>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</si>
  <si>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</si>
  <si>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</si>
  <si>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</si>
  <si>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</si>
  <si>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</si>
  <si>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</si>
  <si>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</si>
  <si>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</si>
  <si>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</si>
  <si>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</si>
  <si>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</si>
  <si>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</si>
  <si>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</si>
  <si>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</si>
  <si>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</si>
  <si>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</si>
  <si>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</si>
  <si>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</si>
  <si>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</si>
  <si>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</si>
  <si>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</si>
  <si>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</si>
  <si>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</si>
  <si>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</si>
  <si>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</si>
  <si>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</si>
  <si>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</si>
  <si>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</si>
  <si>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</si>
  <si>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</si>
  <si>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</si>
  <si>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</si>
  <si>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</si>
  <si>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</si>
  <si>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</si>
  <si>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</si>
  <si>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</si>
  <si>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</si>
  <si>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</si>
  <si>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</si>
  <si>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</si>
  <si>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</si>
  <si>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</si>
  <si>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</si>
  <si>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</si>
  <si>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</si>
  <si>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</si>
  <si>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</si>
  <si>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</si>
  <si>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</si>
  <si>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</si>
  <si>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</si>
  <si>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</si>
  <si>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</si>
  <si>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</si>
  <si>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</si>
  <si>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</si>
  <si>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</si>
  <si>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</si>
  <si>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</si>
  <si>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</si>
  <si>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</si>
  <si>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</si>
  <si>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</si>
  <si>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</si>
  <si>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</si>
  <si>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</si>
  <si>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</si>
  <si>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</si>
  <si>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</si>
  <si>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</si>
  <si>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</si>
  <si>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</si>
  <si>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</si>
  <si>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</si>
  <si>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</si>
  <si>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</si>
  <si>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</si>
  <si>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</si>
  <si>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</si>
  <si>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</si>
  <si>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</si>
  <si>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</si>
  <si>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</si>
  <si>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</si>
  <si>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</si>
  <si>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</si>
  <si>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</si>
  <si>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</si>
  <si>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</si>
  <si>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</si>
  <si>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</si>
  <si>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</si>
  <si>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</si>
  <si>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</si>
  <si>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</si>
  <si>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</si>
  <si>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</si>
  <si>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</si>
  <si>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</si>
  <si>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</si>
  <si>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</si>
  <si>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</si>
  <si>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</si>
  <si>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</si>
  <si>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</si>
  <si>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</si>
  <si>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</si>
  <si>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</si>
  <si>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</si>
  <si>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</si>
  <si>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</si>
  <si>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</si>
  <si>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</si>
  <si>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</si>
  <si>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</si>
  <si>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</si>
  <si>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</si>
  <si>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</si>
  <si>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</si>
  <si>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</si>
  <si>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</si>
  <si>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</si>
  <si>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</si>
  <si>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</si>
  <si>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</si>
  <si>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</si>
  <si>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</si>
  <si>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</si>
  <si>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</si>
  <si>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</si>
  <si>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</si>
  <si>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</si>
  <si>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</si>
  <si>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</si>
  <si>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</si>
  <si>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</si>
  <si>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</si>
  <si>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</si>
  <si>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</si>
  <si>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</si>
  <si>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</si>
  <si>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</si>
  <si>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</si>
  <si>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</si>
  <si>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</si>
  <si>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</si>
  <si>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</si>
  <si>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</si>
  <si>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</si>
  <si>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</si>
  <si>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</si>
  <si>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</si>
  <si>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</si>
  <si>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</si>
  <si>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</si>
  <si>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</si>
  <si>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</si>
  <si>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</si>
  <si>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</si>
  <si>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</si>
  <si>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</si>
  <si>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</si>
  <si>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</si>
  <si>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</si>
  <si>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</si>
  <si>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</si>
  <si>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</si>
  <si>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</si>
  <si>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</si>
  <si>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</si>
  <si>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</si>
  <si>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</si>
  <si>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</si>
  <si>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</si>
  <si>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</si>
  <si>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</si>
  <si>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</si>
  <si>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</si>
  <si>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</si>
  <si>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</si>
  <si>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</si>
  <si>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</si>
  <si>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</si>
  <si>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</si>
  <si>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</si>
  <si>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</si>
  <si>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</si>
  <si>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</si>
  <si>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</si>
  <si>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</si>
  <si>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</si>
  <si>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</si>
  <si>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</si>
  <si>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</si>
  <si>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</si>
  <si>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</si>
  <si>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</si>
  <si>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</si>
  <si>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</si>
  <si>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</si>
  <si>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</si>
  <si>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</si>
  <si>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</si>
  <si>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</si>
  <si>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</si>
  <si>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</si>
  <si>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</si>
  <si>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</si>
  <si>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</si>
  <si>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</si>
  <si>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</si>
  <si>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</si>
  <si>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</si>
  <si>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</si>
  <si>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</si>
  <si>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</si>
  <si>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</si>
  <si>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</si>
  <si>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</si>
  <si>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</si>
  <si>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</si>
  <si>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</si>
  <si>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</si>
  <si>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</si>
  <si>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</si>
  <si>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</si>
  <si>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</si>
  <si>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</si>
  <si>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</si>
  <si>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</si>
  <si>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</si>
  <si>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</si>
  <si>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</si>
  <si>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</si>
  <si>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</si>
  <si>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</si>
  <si>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</si>
  <si>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</si>
  <si>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</si>
  <si>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</si>
  <si>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</si>
  <si>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</si>
  <si>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</si>
  <si>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</si>
  <si>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</si>
  <si>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</si>
  <si>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</si>
  <si>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</si>
  <si>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</si>
  <si>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</si>
  <si>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</si>
  <si>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</si>
  <si>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</si>
  <si>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</si>
  <si>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</si>
  <si>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</si>
  <si>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</si>
  <si>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</si>
  <si>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</si>
  <si>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</si>
  <si>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</si>
  <si>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</si>
  <si>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</si>
  <si>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</si>
  <si>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</si>
  <si>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</si>
  <si>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</si>
  <si>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</si>
  <si>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</si>
  <si>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</si>
  <si>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</si>
  <si>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</si>
  <si>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</si>
  <si>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</si>
  <si>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</si>
  <si>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</si>
  <si>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</si>
  <si>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</si>
  <si>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</si>
  <si>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</si>
  <si>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</si>
  <si>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</si>
  <si>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</si>
  <si>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</si>
  <si>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</si>
  <si>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</si>
  <si>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</si>
  <si>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</si>
  <si>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</si>
  <si>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</si>
  <si>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</si>
  <si>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</si>
  <si>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</si>
  <si>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</si>
  <si>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</si>
  <si>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</si>
  <si>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</si>
  <si>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</si>
  <si>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</si>
  <si>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</si>
  <si>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</si>
  <si>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</si>
  <si>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</si>
  <si>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</si>
  <si>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</si>
  <si>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</si>
  <si>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</si>
  <si>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</si>
  <si>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</si>
  <si>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</si>
  <si>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</si>
  <si>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</si>
  <si>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</si>
  <si>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</si>
  <si>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</si>
  <si>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</si>
  <si>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</si>
  <si>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</si>
  <si>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</si>
  <si>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</si>
  <si>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</si>
  <si>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</si>
  <si>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</si>
  <si>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</si>
  <si>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</si>
  <si>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</si>
  <si>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</si>
  <si>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</si>
  <si>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</si>
  <si>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</si>
  <si>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</si>
  <si>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</si>
  <si>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</si>
  <si>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</si>
  <si>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</si>
  <si>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</si>
  <si>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</si>
  <si>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</si>
  <si>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</si>
  <si>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</si>
  <si>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</si>
  <si>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</si>
  <si>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</si>
  <si>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</si>
  <si>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</si>
  <si>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</si>
  <si>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</si>
  <si>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</si>
  <si>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</si>
  <si>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</si>
  <si>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</si>
  <si>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</si>
  <si>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</si>
  <si>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</si>
  <si>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</si>
  <si>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</si>
  <si>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</si>
  <si>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</si>
  <si>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</si>
  <si>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</si>
  <si>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</si>
  <si>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</si>
  <si>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</si>
  <si>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</si>
  <si>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</si>
  <si>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</si>
  <si>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</si>
  <si>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</si>
  <si>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</si>
  <si>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</si>
  <si>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</si>
  <si>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</si>
  <si>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</si>
  <si>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</si>
  <si>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</si>
  <si>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</si>
  <si>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</si>
  <si>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</si>
  <si>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</si>
  <si>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</si>
  <si>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</si>
  <si>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</si>
  <si>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</si>
  <si>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</si>
  <si>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</si>
  <si>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</si>
  <si>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</si>
  <si>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</si>
  <si>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</si>
  <si>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</si>
  <si>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</si>
  <si>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</si>
  <si>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</si>
  <si>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</si>
  <si>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</si>
  <si>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</si>
  <si>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</si>
  <si>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</si>
  <si>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</si>
  <si>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</si>
  <si>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</si>
  <si>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</si>
  <si>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</si>
  <si>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</si>
  <si>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</si>
  <si>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</si>
  <si>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</si>
  <si>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</si>
  <si>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</si>
  <si>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</si>
  <si>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</si>
  <si>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</si>
  <si>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</si>
  <si>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</si>
  <si>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</si>
  <si>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</si>
  <si>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</si>
  <si>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</si>
  <si>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</si>
  <si>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</si>
  <si>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</si>
  <si>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</si>
  <si>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</si>
  <si>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</si>
  <si>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</si>
  <si>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</si>
  <si>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</si>
  <si>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</si>
  <si>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</si>
  <si>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</si>
  <si>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</si>
  <si>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</si>
  <si>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</si>
  <si>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</si>
  <si>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</si>
  <si>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</si>
  <si>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</si>
  <si>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</si>
  <si>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</si>
  <si>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</si>
  <si>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</si>
  <si>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</si>
  <si>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</si>
  <si>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</si>
  <si>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</si>
  <si>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</si>
  <si>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</si>
  <si>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</si>
  <si>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</si>
  <si>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</si>
  <si>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</si>
  <si>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</si>
  <si>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</si>
  <si>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</si>
  <si>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</si>
  <si>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</si>
  <si>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</si>
  <si>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</si>
  <si>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</si>
  <si>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</si>
  <si>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</si>
  <si>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</si>
  <si>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</si>
  <si>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</si>
  <si>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</si>
  <si>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</si>
  <si>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</si>
  <si>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</si>
  <si>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</si>
  <si>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</si>
  <si>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</si>
  <si>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</si>
  <si>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</si>
  <si>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</si>
  <si>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</si>
  <si>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</si>
  <si>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</si>
  <si>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</si>
  <si>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</si>
  <si>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</si>
  <si>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</si>
  <si>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</si>
  <si>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</si>
  <si>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</si>
  <si>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</si>
  <si>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</si>
  <si>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</si>
  <si>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</si>
  <si>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</si>
  <si>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</si>
  <si>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</si>
  <si>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</si>
  <si>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</si>
  <si>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</si>
  <si>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</si>
  <si>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</si>
  <si>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</si>
  <si>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</si>
  <si>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</si>
  <si>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</si>
  <si>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</si>
  <si>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</si>
  <si>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</si>
  <si>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</si>
  <si>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</si>
  <si>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</si>
  <si>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</si>
  <si>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</si>
  <si>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</si>
  <si>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</si>
  <si>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</si>
  <si>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</si>
  <si>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</si>
  <si>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</si>
  <si>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</si>
  <si>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</si>
  <si>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</si>
  <si>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</si>
  <si>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</si>
  <si>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</si>
  <si>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</si>
  <si>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</si>
  <si>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</si>
  <si>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</si>
  <si>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</si>
  <si>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</si>
  <si>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</si>
  <si>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</si>
  <si>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</si>
  <si>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</si>
  <si>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</si>
  <si>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</si>
  <si>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</si>
  <si>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</si>
  <si>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</si>
  <si>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</si>
  <si>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</si>
  <si>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</si>
  <si>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</si>
  <si>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</si>
  <si>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</si>
  <si>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</si>
  <si>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</si>
  <si>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</si>
  <si>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</si>
  <si>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</si>
  <si>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</si>
  <si>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</si>
  <si>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</si>
  <si>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</si>
  <si>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</si>
  <si>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</si>
  <si>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</si>
  <si>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</si>
  <si>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</si>
  <si>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</si>
  <si>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</si>
  <si>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</si>
  <si>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</si>
  <si>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</si>
  <si>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</si>
  <si>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</si>
  <si>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</si>
  <si>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</si>
  <si>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</si>
  <si>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</si>
  <si>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</si>
  <si>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</si>
  <si>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</si>
  <si>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</si>
  <si>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</si>
  <si>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</si>
  <si>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</si>
  <si>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</si>
  <si>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</si>
  <si>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</si>
  <si>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</si>
  <si>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</si>
  <si>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</si>
  <si>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</si>
  <si>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</si>
  <si>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</si>
  <si>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</si>
  <si>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</si>
  <si>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</si>
  <si>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</si>
  <si>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</si>
  <si>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</si>
  <si>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</si>
  <si>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</si>
  <si>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</si>
  <si>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</si>
  <si>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</si>
  <si>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</si>
  <si>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</si>
  <si>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</si>
  <si>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</si>
  <si>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</si>
  <si>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</si>
  <si>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</si>
  <si>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</si>
  <si>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</si>
  <si>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</si>
  <si>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</si>
  <si>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</si>
  <si>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</si>
  <si>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</si>
  <si>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</si>
  <si>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</si>
  <si>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</si>
  <si>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</si>
  <si>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</si>
  <si>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</si>
  <si>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</si>
  <si>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</si>
  <si>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</si>
  <si>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</si>
  <si>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</si>
  <si>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</si>
  <si>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</si>
  <si>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</si>
  <si>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</si>
  <si>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</si>
  <si>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</si>
  <si>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</si>
  <si>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</si>
  <si>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</si>
  <si>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</si>
  <si>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</si>
  <si>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</si>
  <si>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</si>
  <si>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</si>
  <si>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</si>
  <si>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</si>
  <si>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</si>
  <si>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</si>
  <si>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</si>
  <si>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</si>
  <si>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</si>
  <si>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</si>
  <si>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</si>
  <si>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</si>
  <si>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</si>
  <si>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</si>
  <si>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</si>
  <si>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</si>
  <si>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</si>
  <si>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</si>
  <si>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</si>
  <si>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</si>
  <si>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</si>
  <si>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</si>
  <si>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</si>
  <si>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</si>
  <si>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</si>
  <si>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</si>
  <si>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</si>
  <si>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</si>
  <si>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</si>
  <si>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</si>
  <si>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</si>
  <si>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</si>
  <si>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</si>
  <si>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</si>
  <si>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</si>
  <si>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</si>
  <si>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</si>
  <si>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</si>
  <si>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</si>
  <si>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</si>
  <si>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</si>
  <si>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</si>
  <si>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</si>
  <si>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</si>
  <si>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</si>
  <si>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</si>
  <si>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</si>
  <si>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</si>
  <si>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</si>
  <si>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</si>
  <si>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</si>
  <si>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</si>
  <si>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</si>
  <si>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</si>
  <si>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</si>
  <si>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</si>
  <si>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</si>
  <si>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</si>
  <si>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</si>
  <si>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</si>
  <si>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</si>
  <si>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</si>
  <si>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</si>
  <si>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</si>
  <si>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</si>
  <si>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</si>
  <si>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</si>
  <si>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</si>
  <si>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</si>
  <si>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</si>
  <si>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</si>
  <si>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</si>
  <si>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</si>
  <si>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</si>
  <si>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</si>
  <si>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</si>
  <si>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</si>
  <si>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</si>
  <si>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</si>
  <si>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</si>
  <si>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</si>
  <si>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</si>
  <si>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</si>
  <si>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</si>
  <si>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</si>
  <si>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</si>
  <si>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</si>
  <si>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</si>
  <si>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</si>
  <si>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</si>
  <si>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</si>
  <si>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</si>
  <si>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</si>
  <si>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</si>
  <si>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</si>
  <si>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</si>
  <si>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</si>
  <si>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</si>
  <si>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</si>
  <si>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</si>
  <si>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</si>
  <si>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</si>
  <si>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</si>
  <si>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</si>
  <si>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</si>
  <si>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</si>
  <si>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</si>
  <si>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</si>
  <si>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</si>
  <si>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</si>
  <si>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</si>
  <si>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</si>
  <si>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</si>
  <si>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</si>
  <si>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</si>
  <si>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</si>
  <si>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</si>
  <si>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</si>
  <si>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</si>
  <si>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</si>
  <si>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</si>
  <si>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</si>
  <si>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</si>
  <si>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</si>
  <si>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</si>
  <si>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</si>
  <si>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</si>
  <si>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</si>
  <si>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</si>
  <si>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</si>
  <si>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</si>
  <si>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</si>
  <si>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</si>
  <si>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</si>
  <si>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</si>
  <si>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</si>
  <si>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</si>
  <si>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</si>
  <si>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</si>
  <si>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</si>
  <si>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</si>
  <si>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</si>
  <si>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</si>
  <si>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</si>
  <si>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</si>
  <si>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</si>
  <si>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</si>
  <si>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</si>
  <si>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</si>
  <si>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</si>
  <si>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</si>
  <si>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</si>
  <si>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</si>
  <si>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</si>
  <si>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</si>
  <si>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</si>
  <si>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</si>
  <si>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</si>
  <si>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</si>
  <si>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</si>
  <si>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</si>
  <si>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</si>
  <si>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</si>
  <si>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</si>
  <si>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</si>
  <si>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</si>
  <si>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</si>
  <si>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</si>
  <si>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</si>
  <si>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</si>
  <si>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</si>
  <si>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</si>
  <si>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</si>
  <si>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</si>
  <si>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</si>
  <si>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</si>
  <si>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</si>
  <si>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</si>
  <si>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</si>
  <si>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</si>
  <si>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</si>
  <si>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</si>
  <si>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</si>
  <si>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</si>
  <si>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</si>
  <si>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</si>
  <si>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</si>
  <si>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</si>
  <si>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</si>
  <si>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</si>
  <si>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</si>
  <si>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</si>
  <si>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</si>
  <si>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</si>
  <si>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</si>
  <si>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</si>
  <si>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</si>
  <si>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</si>
  <si>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</si>
  <si>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</si>
  <si>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</si>
  <si>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</si>
  <si>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</si>
  <si>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</si>
  <si>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</si>
  <si>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</si>
  <si>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</si>
  <si>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</si>
  <si>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</si>
  <si>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</si>
  <si>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</si>
  <si>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</si>
  <si>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</si>
  <si>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</si>
  <si>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</si>
  <si>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</si>
  <si>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</si>
  <si>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</si>
  <si>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</si>
  <si>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</si>
  <si>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</si>
  <si>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</si>
  <si>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</si>
  <si>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</si>
  <si>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</si>
  <si>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</si>
  <si>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</si>
  <si>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</si>
  <si>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</si>
  <si>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</si>
  <si>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</si>
  <si>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</si>
  <si>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</si>
  <si>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</si>
  <si>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</si>
  <si>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</si>
  <si>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</si>
  <si>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</si>
  <si>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</si>
  <si>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</si>
  <si>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</si>
  <si>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</si>
  <si>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</si>
  <si>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</si>
  <si>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</si>
  <si>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</si>
  <si>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</si>
  <si>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</si>
  <si>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</si>
  <si>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</si>
  <si>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</si>
  <si>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</si>
  <si>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</si>
  <si>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</si>
  <si>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</si>
  <si>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</si>
  <si>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</si>
  <si>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</si>
  <si>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</si>
  <si>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</si>
  <si>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</si>
  <si>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</si>
  <si>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</si>
  <si>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</si>
  <si>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</si>
  <si>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</si>
  <si>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</si>
  <si>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</si>
  <si>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</si>
  <si>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</si>
  <si>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</si>
  <si>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</si>
  <si>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</si>
  <si>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</si>
  <si>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</si>
  <si>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</si>
  <si>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</si>
  <si>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</si>
  <si>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</si>
  <si>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</si>
  <si>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</si>
  <si>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</si>
  <si>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</si>
  <si>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</si>
  <si>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</si>
  <si>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</si>
  <si>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</si>
  <si>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</si>
  <si>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</si>
  <si>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</si>
  <si>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</si>
  <si>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</si>
  <si>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</si>
  <si>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</si>
  <si>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</si>
  <si>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</si>
  <si>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</si>
  <si>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</si>
  <si>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</si>
  <si>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</si>
  <si>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</si>
  <si>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</si>
  <si>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</si>
  <si>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</si>
  <si>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</si>
  <si>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</si>
  <si>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</si>
  <si>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</si>
  <si>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</si>
  <si>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</si>
  <si>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</si>
  <si>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</si>
  <si>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</si>
  <si>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</si>
  <si>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</si>
  <si>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</si>
  <si>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</si>
  <si>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</si>
  <si>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</si>
  <si>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</si>
  <si>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</si>
  <si>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</si>
  <si>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</si>
  <si>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</si>
  <si>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</si>
  <si>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</si>
  <si>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</si>
  <si>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</si>
  <si>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</si>
  <si>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</si>
  <si>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</si>
  <si>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</si>
  <si>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</si>
  <si>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</si>
  <si>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</si>
  <si>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</si>
  <si>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</si>
  <si>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</si>
  <si>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</si>
  <si>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</si>
  <si>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</si>
  <si>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</si>
  <si>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</si>
  <si>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</si>
  <si>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</si>
  <si>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</si>
  <si>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</si>
  <si>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</si>
  <si>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</si>
  <si>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</si>
  <si>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</si>
  <si>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</si>
  <si>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</si>
  <si>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</si>
  <si>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</si>
  <si>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</si>
  <si>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</si>
  <si>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</si>
  <si>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</si>
  <si>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</si>
  <si>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</si>
  <si>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</si>
  <si>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</si>
  <si>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</si>
  <si>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</si>
  <si>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</si>
  <si>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</si>
  <si>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</si>
  <si>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</si>
  <si>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</si>
  <si>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</si>
  <si>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</si>
  <si>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</si>
  <si>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</si>
  <si>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</si>
  <si>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</si>
  <si>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</si>
  <si>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</si>
  <si>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</si>
  <si>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</si>
  <si>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</si>
  <si>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</si>
  <si>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</si>
  <si>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</si>
  <si>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</si>
  <si>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</si>
  <si>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</si>
  <si>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</si>
  <si>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</si>
  <si>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</si>
  <si>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</si>
  <si>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</si>
  <si>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</si>
  <si>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</si>
  <si>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</si>
  <si>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</si>
  <si>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</si>
  <si>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</si>
  <si>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</si>
  <si>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</si>
  <si>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</si>
  <si>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</si>
  <si>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</si>
  <si>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</si>
  <si>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</si>
  <si>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</si>
  <si>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</si>
  <si>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</si>
  <si>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</si>
  <si>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</si>
  <si>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</si>
  <si>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</si>
  <si>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</si>
  <si>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</si>
  <si>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</si>
  <si>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</si>
  <si>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</si>
  <si>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</si>
  <si>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</si>
  <si>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</si>
  <si>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</si>
  <si>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</si>
  <si>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</si>
  <si>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</si>
  <si>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</si>
  <si>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</si>
  <si>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</si>
  <si>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</si>
  <si>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</si>
  <si>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</si>
  <si>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</si>
  <si>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</si>
  <si>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</si>
  <si>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</si>
  <si>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</si>
  <si>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</si>
  <si>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</si>
  <si>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</si>
  <si>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</si>
  <si>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</si>
  <si>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</si>
  <si>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</si>
  <si>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</si>
  <si>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</si>
  <si>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</si>
  <si>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</si>
  <si>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</si>
  <si>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</si>
  <si>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</si>
  <si>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</si>
  <si>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</si>
  <si>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</si>
  <si>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</si>
  <si>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</si>
  <si>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</si>
  <si>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</si>
  <si>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</si>
  <si>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</si>
  <si>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</si>
  <si>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</si>
  <si>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</si>
  <si>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</si>
  <si>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</si>
  <si>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</si>
  <si>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</si>
  <si>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</si>
  <si>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</si>
  <si>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</si>
  <si>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</si>
  <si>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</si>
  <si>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</si>
  <si>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</si>
  <si>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</si>
  <si>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</si>
  <si>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</si>
  <si>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</si>
  <si>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</si>
  <si>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</si>
  <si>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</si>
  <si>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</si>
  <si>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</si>
  <si>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</si>
  <si>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</si>
  <si>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</si>
  <si>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</si>
  <si>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</si>
  <si>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</si>
  <si>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</si>
  <si>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</si>
  <si>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</si>
  <si>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</si>
  <si>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</si>
  <si>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</si>
  <si>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</si>
  <si>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</si>
  <si>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</si>
  <si>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</si>
  <si>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</si>
  <si>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</si>
  <si>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</si>
  <si>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</si>
  <si>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</si>
  <si>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</si>
  <si>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</si>
  <si>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</si>
  <si>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</si>
  <si>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</si>
  <si>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</si>
  <si>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</si>
  <si>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</si>
  <si>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</si>
  <si>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</si>
  <si>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</si>
  <si>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</si>
  <si>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</si>
  <si>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</si>
  <si>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</si>
  <si>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</si>
  <si>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</si>
  <si>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</si>
  <si>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</si>
  <si>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</si>
  <si>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</si>
  <si>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</si>
  <si>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</si>
  <si>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</si>
  <si>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</si>
  <si>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</si>
  <si>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</si>
  <si>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</si>
  <si>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</si>
  <si>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</si>
  <si>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</si>
  <si>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</si>
  <si>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</si>
  <si>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</si>
  <si>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</si>
  <si>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</si>
  <si>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</si>
  <si>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</si>
  <si>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</si>
  <si>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</si>
  <si>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</si>
  <si>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</si>
  <si>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</si>
  <si>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</si>
  <si>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</si>
  <si>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</si>
  <si>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</si>
  <si>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</si>
  <si>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</si>
  <si>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</si>
  <si>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</si>
  <si>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</si>
  <si>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</si>
  <si>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</si>
  <si>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</si>
  <si>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</si>
  <si>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</si>
  <si>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</si>
  <si>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</si>
  <si>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</si>
  <si>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</si>
  <si>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</si>
  <si>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</si>
  <si>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</si>
  <si>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</si>
  <si>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</si>
  <si>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</si>
  <si>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</si>
  <si>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</si>
  <si>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</si>
  <si>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</si>
  <si>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</si>
  <si>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</si>
  <si>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</si>
  <si>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</si>
  <si>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</si>
  <si>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</si>
  <si>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</si>
  <si>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</si>
  <si>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</si>
  <si>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</si>
  <si>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</si>
  <si>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</si>
  <si>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</si>
  <si>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</si>
  <si>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</si>
  <si>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</si>
  <si>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</si>
  <si>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</si>
  <si>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</si>
  <si>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</si>
  <si>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</si>
  <si>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</si>
  <si>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</si>
  <si>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</si>
  <si>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</si>
  <si>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</si>
  <si>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</si>
  <si>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</si>
  <si>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</si>
  <si>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</si>
  <si>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</si>
  <si>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</si>
  <si>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</si>
  <si>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</si>
  <si>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</si>
  <si>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</si>
  <si>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</si>
  <si>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</si>
  <si>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</si>
  <si>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</si>
  <si>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</si>
  <si>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</si>
  <si>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</si>
  <si>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</si>
  <si>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</si>
  <si>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</si>
  <si>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</si>
  <si>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</si>
  <si>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</si>
  <si>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</si>
  <si>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</si>
  <si>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</si>
  <si>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</si>
  <si>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</si>
  <si>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</si>
  <si>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</si>
  <si>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</si>
  <si>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</si>
  <si>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</si>
  <si>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</si>
  <si>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</si>
  <si>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</si>
  <si>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</si>
  <si>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</si>
  <si>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</si>
  <si>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</si>
  <si>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</si>
  <si>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</si>
  <si>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</si>
  <si>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</si>
  <si>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</si>
  <si>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</si>
  <si>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</si>
  <si>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</si>
  <si>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</si>
  <si>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</si>
  <si>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</si>
  <si>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</si>
  <si>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</si>
  <si>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</si>
  <si>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</si>
  <si>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</si>
  <si>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</si>
  <si>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</si>
  <si>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</si>
  <si>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</si>
  <si>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</si>
  <si>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</si>
  <si>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</si>
  <si>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</si>
  <si>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</si>
  <si>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</si>
  <si>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</si>
  <si>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</si>
  <si>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</si>
  <si>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</si>
  <si>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</si>
  <si>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</si>
  <si>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</si>
  <si>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</si>
  <si>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</si>
  <si>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</si>
  <si>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</si>
  <si>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</si>
  <si>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</si>
  <si>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</si>
  <si>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</si>
  <si>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</si>
  <si>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</si>
  <si>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</si>
  <si>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</si>
  <si>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</si>
  <si>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</si>
  <si>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</si>
  <si>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</si>
  <si>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</si>
  <si>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</si>
  <si>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</si>
  <si>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</si>
  <si>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</si>
  <si>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</si>
  <si>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</si>
  <si>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</si>
  <si>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</si>
  <si>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</si>
  <si>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</si>
  <si>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</si>
  <si>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</si>
  <si>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</si>
  <si>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</si>
  <si>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</si>
  <si>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</si>
  <si>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</si>
  <si>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</si>
  <si>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</si>
  <si>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</si>
  <si>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</si>
  <si>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</si>
  <si>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</si>
  <si>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</si>
  <si>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</si>
  <si>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</si>
  <si>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</si>
  <si>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</si>
  <si>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</si>
  <si>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</si>
  <si>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</si>
  <si>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</si>
  <si>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</si>
  <si>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</si>
  <si>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</si>
  <si>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</si>
  <si>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</si>
  <si>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</si>
  <si>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</si>
  <si>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</si>
  <si>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</si>
  <si>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</si>
  <si>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</si>
  <si>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</si>
  <si>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</si>
  <si>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</si>
  <si>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</si>
  <si>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</si>
  <si>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</si>
  <si>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</si>
  <si>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</si>
  <si>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</si>
  <si>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</si>
  <si>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</si>
  <si>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</si>
  <si>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</si>
  <si>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</si>
  <si>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</si>
  <si>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</si>
  <si>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</si>
  <si>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</si>
  <si>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</si>
  <si>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</si>
  <si>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</si>
  <si>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</si>
  <si>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</si>
  <si>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</si>
  <si>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</si>
  <si>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</si>
  <si>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</si>
  <si>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</si>
  <si>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</si>
  <si>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</si>
  <si>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</si>
  <si>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</si>
  <si>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</si>
  <si>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</si>
  <si>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</si>
  <si>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</si>
  <si>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</si>
  <si>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</si>
  <si>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</si>
  <si>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</si>
  <si>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</si>
  <si>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</si>
  <si>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</si>
  <si>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</si>
  <si>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</si>
  <si>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</si>
  <si>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</si>
  <si>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</si>
  <si>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</si>
  <si>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</si>
  <si>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</si>
  <si>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</si>
  <si>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</si>
  <si>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</si>
  <si>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</si>
  <si>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</si>
  <si>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</si>
  <si>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</si>
  <si>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</si>
  <si>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</si>
  <si>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</si>
  <si>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</si>
  <si>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</si>
  <si>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</si>
  <si>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</si>
  <si>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</si>
  <si>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</si>
  <si>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</si>
  <si>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</si>
  <si>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</si>
  <si>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</si>
  <si>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</si>
  <si>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</si>
  <si>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</si>
  <si>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</si>
  <si>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</si>
  <si>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</si>
  <si>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</si>
  <si>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</si>
  <si>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</si>
  <si>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</si>
  <si>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</si>
  <si>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</si>
  <si>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</si>
  <si>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</si>
  <si>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</si>
  <si>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</si>
  <si>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</si>
  <si>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</si>
  <si>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</si>
  <si>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</si>
  <si>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</si>
  <si>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</si>
  <si>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</si>
  <si>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</si>
  <si>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</si>
  <si>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</si>
  <si>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</si>
  <si>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</si>
  <si>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</si>
  <si>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</si>
  <si>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</si>
  <si>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</si>
  <si>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</si>
  <si>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</si>
  <si>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</si>
  <si>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</si>
  <si>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</si>
  <si>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</si>
  <si>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</si>
  <si>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</si>
  <si>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</si>
  <si>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</si>
  <si>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</si>
  <si>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</si>
  <si>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</si>
  <si>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</si>
  <si>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</si>
  <si>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</si>
  <si>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</si>
  <si>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</si>
  <si>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</si>
  <si>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</si>
  <si>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</si>
  <si>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</si>
  <si>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</si>
  <si>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</si>
  <si>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</si>
  <si>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</si>
  <si>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</si>
  <si>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</si>
  <si>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</si>
  <si>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</si>
  <si>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</si>
  <si>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</si>
  <si>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</si>
  <si>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</si>
  <si>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</si>
  <si>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</si>
  <si>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</si>
  <si>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</si>
  <si>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</si>
  <si>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</si>
  <si>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</si>
  <si>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</si>
  <si>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</si>
  <si>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</si>
  <si>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</si>
  <si>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</si>
  <si>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</si>
  <si>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</si>
  <si>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</si>
  <si>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</si>
  <si>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</si>
  <si>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</si>
  <si>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</si>
  <si>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</si>
  <si>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</si>
  <si>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</si>
  <si>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</si>
  <si>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</si>
  <si>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</si>
  <si>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</si>
  <si>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</si>
  <si>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</si>
  <si>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</si>
  <si>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</si>
  <si>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</si>
  <si>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</si>
  <si>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</si>
  <si>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</si>
  <si>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</si>
  <si>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</si>
  <si>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</si>
  <si>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</si>
  <si>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</si>
  <si>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</si>
  <si>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</si>
  <si>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</si>
  <si>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</si>
  <si>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</si>
  <si>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</si>
  <si>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</si>
  <si>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</si>
  <si>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</si>
  <si>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</si>
  <si>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</si>
  <si>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</si>
  <si>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</si>
  <si>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</si>
  <si>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</si>
  <si>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</si>
  <si>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</si>
  <si>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</si>
  <si>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</si>
  <si>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</si>
  <si>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</si>
  <si>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</si>
  <si>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</si>
  <si>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</si>
  <si>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</si>
  <si>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</si>
  <si>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</si>
  <si>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</si>
  <si>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</si>
  <si>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</si>
  <si>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</si>
  <si>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</si>
  <si>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</si>
  <si>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</si>
  <si>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</si>
  <si>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</si>
  <si>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</si>
  <si>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</si>
  <si>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</si>
  <si>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</si>
  <si>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</si>
  <si>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</si>
  <si>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</si>
  <si>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</si>
  <si>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</si>
  <si>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</si>
  <si>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</si>
  <si>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</si>
  <si>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</si>
  <si>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</si>
  <si>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</si>
  <si>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</si>
  <si>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</si>
  <si>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</si>
  <si>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</si>
  <si>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</si>
  <si>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</si>
  <si>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</si>
  <si>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</si>
  <si>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</si>
  <si>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</si>
  <si>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</si>
  <si>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</si>
  <si>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</si>
  <si>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</si>
  <si>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</si>
  <si>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</si>
  <si>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</si>
  <si>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</si>
  <si>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</si>
  <si>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</si>
  <si>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</si>
  <si>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</si>
  <si>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</si>
  <si>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</si>
  <si>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</si>
  <si>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</si>
  <si>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</si>
  <si>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</si>
  <si>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</si>
  <si>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</si>
  <si>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</si>
  <si>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</si>
  <si>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</si>
  <si>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</si>
  <si>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</si>
  <si>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</si>
  <si>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</si>
  <si>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</si>
  <si>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</si>
  <si>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</si>
  <si>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</si>
  <si>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</si>
  <si>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</si>
  <si>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</si>
  <si>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</si>
  <si>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</si>
  <si>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</si>
  <si>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</si>
  <si>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</si>
  <si>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</si>
  <si>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</si>
  <si>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</si>
  <si>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</si>
  <si>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</si>
  <si>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</si>
  <si>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</si>
  <si>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</si>
  <si>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</si>
  <si>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</si>
  <si>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</si>
  <si>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</si>
  <si>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</si>
  <si>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</si>
  <si>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</si>
  <si>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</si>
  <si>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</si>
  <si>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</si>
  <si>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</si>
  <si>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</si>
  <si>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</si>
  <si>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</si>
  <si>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</si>
  <si>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</si>
  <si>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</si>
  <si>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</si>
  <si>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</si>
  <si>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</si>
  <si>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</si>
  <si>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</si>
  <si>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</si>
  <si>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</si>
  <si>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</si>
  <si>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</si>
  <si>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</si>
  <si>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</si>
  <si>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</si>
  <si>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</si>
  <si>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</si>
  <si>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</si>
  <si>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</si>
  <si>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</si>
  <si>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</si>
  <si>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</si>
  <si>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</si>
  <si>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</si>
  <si>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</si>
  <si>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</si>
  <si>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</si>
  <si>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</si>
  <si>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</si>
  <si>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</si>
  <si>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</si>
  <si>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</si>
  <si>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</si>
  <si>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</si>
  <si>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</si>
  <si>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</si>
  <si>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</si>
  <si>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</si>
  <si>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</si>
  <si>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</si>
  <si>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</si>
  <si>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</si>
  <si>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</si>
  <si>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</si>
  <si>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</si>
  <si>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</si>
  <si>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</si>
  <si>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</si>
  <si>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</si>
  <si>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</si>
  <si>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</si>
  <si>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</si>
  <si>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</si>
  <si>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</si>
  <si>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</si>
  <si>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</si>
  <si>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</si>
  <si>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</si>
  <si>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</si>
  <si>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</si>
  <si>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</si>
  <si>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</si>
  <si>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</si>
  <si>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</si>
  <si>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</si>
  <si>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</si>
  <si>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</si>
  <si>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</si>
  <si>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</si>
  <si>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</si>
  <si>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</si>
  <si>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</si>
  <si>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</si>
  <si>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</si>
  <si>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</si>
  <si>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</si>
  <si>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</si>
  <si>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</si>
  <si>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</si>
  <si>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</si>
  <si>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</si>
  <si>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</si>
  <si>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</si>
  <si>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</si>
  <si>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</si>
  <si>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</si>
  <si>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</si>
  <si>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</si>
  <si>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</si>
  <si>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</si>
  <si>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</si>
  <si>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</si>
  <si>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</si>
  <si>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</si>
  <si>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</si>
  <si>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</si>
  <si>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</si>
  <si>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</si>
  <si>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</si>
  <si>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</si>
  <si>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</si>
  <si>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</si>
  <si>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</si>
  <si>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</si>
  <si>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</si>
  <si>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</si>
  <si>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</si>
  <si>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</si>
  <si>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</si>
  <si>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</si>
  <si>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</si>
  <si>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</si>
  <si>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</si>
  <si>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</si>
  <si>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</si>
  <si>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</si>
  <si>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</si>
  <si>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</si>
  <si>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</si>
  <si>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</si>
  <si>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</si>
  <si>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</si>
  <si>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</si>
  <si>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</si>
  <si>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</si>
  <si>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</si>
  <si>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</si>
  <si>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</si>
  <si>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</si>
  <si>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</si>
  <si>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</si>
  <si>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</si>
  <si>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</si>
  <si>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</si>
  <si>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</si>
  <si>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</si>
  <si>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</si>
  <si>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</si>
  <si>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</si>
  <si>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</si>
  <si>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</si>
  <si>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</si>
  <si>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</si>
  <si>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</si>
  <si>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</si>
  <si>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</si>
  <si>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</si>
  <si>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</si>
  <si>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</si>
  <si>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</si>
  <si>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</si>
  <si>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</si>
  <si>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</si>
  <si>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</si>
  <si>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</si>
  <si>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</si>
  <si>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</si>
  <si>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</si>
  <si>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</si>
  <si>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</si>
  <si>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</si>
  <si>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</si>
  <si>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</si>
  <si>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</si>
  <si>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</si>
  <si>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</si>
  <si>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</si>
  <si>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</si>
  <si>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</si>
  <si>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</si>
  <si>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</si>
  <si>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</si>
  <si>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</si>
  <si>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</si>
  <si>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</si>
  <si>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</si>
  <si>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</si>
  <si>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</si>
  <si>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</si>
  <si>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</si>
  <si>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</si>
  <si>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</si>
  <si>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</si>
  <si>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</si>
  <si>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</si>
  <si>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</si>
  <si>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</si>
  <si>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</si>
  <si>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</si>
  <si>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</si>
  <si>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</si>
  <si>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</si>
  <si>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</si>
  <si>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</si>
  <si>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</si>
  <si>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</si>
  <si>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</si>
  <si>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</si>
  <si>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</si>
  <si>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</si>
  <si>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</si>
  <si>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</si>
  <si>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</si>
  <si>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</si>
  <si>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</si>
  <si>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</si>
  <si>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</si>
  <si>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</si>
  <si>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</si>
  <si>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</si>
  <si>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</si>
  <si>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</si>
  <si>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</si>
  <si>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</si>
  <si>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</si>
  <si>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</si>
  <si>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</si>
  <si>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</si>
  <si>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</si>
  <si>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</si>
  <si>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</si>
  <si>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</si>
  <si>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</si>
  <si>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</si>
  <si>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</si>
  <si>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</si>
  <si>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</si>
  <si>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</si>
  <si>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</si>
  <si>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</si>
  <si>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</si>
  <si>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</si>
  <si>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</si>
  <si>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</si>
  <si>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</si>
  <si>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</si>
  <si>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</si>
  <si>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</si>
  <si>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</si>
  <si>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</si>
  <si>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</si>
  <si>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</si>
  <si>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</si>
  <si>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</si>
  <si>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</si>
  <si>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</si>
  <si>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</si>
  <si>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</si>
  <si>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</si>
  <si>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</si>
  <si>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</si>
  <si>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</si>
  <si>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</si>
  <si>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</si>
  <si>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</si>
  <si>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</si>
  <si>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</si>
  <si>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</si>
  <si>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</si>
  <si>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</si>
  <si>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</si>
  <si>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</si>
  <si>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</si>
  <si>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</si>
  <si>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</si>
  <si>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</si>
  <si>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</si>
  <si>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</si>
  <si>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</si>
  <si>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</si>
  <si>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</si>
  <si>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</si>
  <si>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</si>
  <si>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</si>
  <si>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</si>
  <si>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</si>
  <si>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</si>
  <si>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</si>
  <si>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</si>
  <si>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</si>
  <si>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</si>
  <si>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</si>
  <si>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</si>
  <si>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</si>
  <si>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</si>
  <si>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</si>
  <si>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</si>
  <si>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</si>
  <si>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</si>
  <si>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</si>
  <si>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</si>
  <si>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</si>
  <si>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</si>
  <si>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</si>
  <si>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</si>
  <si>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</si>
  <si>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</si>
  <si>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</si>
  <si>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</si>
  <si>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</si>
  <si>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</si>
  <si>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</si>
  <si>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</si>
  <si>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</si>
  <si>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</si>
  <si>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</si>
  <si>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</si>
  <si>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</si>
  <si>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</si>
  <si>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</si>
  <si>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</si>
  <si>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</si>
  <si>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</si>
  <si>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</si>
  <si>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</si>
  <si>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</si>
  <si>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</si>
  <si>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</si>
  <si>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</si>
  <si>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</si>
  <si>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</si>
  <si>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</si>
  <si>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</si>
  <si>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</si>
  <si>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</si>
  <si>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</si>
  <si>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</si>
  <si>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</si>
  <si>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</si>
  <si>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</si>
  <si>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</si>
  <si>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</si>
  <si>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</si>
  <si>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</si>
  <si>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</si>
  <si>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</si>
  <si>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</si>
  <si>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</si>
  <si>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</si>
  <si>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</si>
  <si>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</si>
  <si>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</si>
  <si>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</si>
  <si>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</si>
  <si>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</si>
  <si>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</si>
  <si>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</si>
  <si>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</si>
  <si>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</si>
  <si>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</si>
  <si>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</si>
  <si>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</si>
  <si>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</si>
  <si>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</si>
  <si>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</si>
  <si>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</si>
  <si>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</si>
  <si>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</si>
  <si>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</si>
  <si>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</si>
  <si>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</si>
  <si>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</si>
  <si>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</si>
  <si>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</si>
  <si>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</si>
  <si>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</si>
  <si>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</si>
  <si>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</si>
  <si>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</si>
  <si>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</si>
  <si>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</si>
  <si>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</si>
  <si>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</si>
  <si>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</si>
  <si>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</si>
  <si>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</si>
  <si>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</si>
  <si>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</si>
  <si>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</si>
  <si>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</si>
  <si>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</si>
  <si>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</si>
  <si>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</si>
  <si>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</si>
  <si>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</si>
  <si>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</si>
  <si>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</si>
  <si>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</si>
  <si>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</si>
  <si>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</si>
  <si>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</si>
  <si>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</si>
  <si>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</si>
  <si>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</si>
  <si>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</si>
  <si>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</si>
  <si>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</si>
  <si>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</si>
  <si>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</si>
  <si>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</si>
  <si>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</si>
  <si>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</si>
  <si>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</si>
  <si>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</si>
  <si>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</si>
  <si>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</si>
  <si>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</si>
  <si>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</si>
  <si>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</si>
  <si>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</si>
  <si>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</si>
  <si>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</si>
  <si>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</si>
  <si>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</si>
  <si>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</si>
  <si>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</si>
  <si>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</si>
  <si>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</si>
  <si>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</si>
  <si>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</si>
  <si>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</si>
  <si>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</si>
  <si>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</si>
  <si>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</si>
  <si>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</si>
  <si>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</si>
  <si>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</si>
  <si>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</si>
  <si>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</si>
  <si>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</si>
  <si>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</si>
  <si>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</si>
  <si>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</si>
  <si>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</si>
  <si>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</si>
  <si>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</si>
  <si>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</si>
  <si>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</si>
  <si>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</si>
  <si>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</si>
  <si>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</si>
  <si>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</si>
  <si>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</si>
  <si>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</si>
  <si>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</si>
  <si>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</si>
  <si>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</si>
  <si>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</si>
  <si>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</si>
  <si>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</si>
  <si>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</si>
  <si>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</si>
  <si>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</si>
  <si>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</si>
  <si>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</si>
  <si>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</si>
  <si>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</si>
  <si>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</si>
  <si>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</si>
  <si>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</si>
  <si>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</si>
  <si>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</si>
  <si>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</si>
  <si>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</si>
  <si>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</si>
  <si>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</si>
  <si>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</si>
  <si>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</si>
  <si>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</si>
  <si>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</si>
  <si>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</si>
  <si>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</si>
  <si>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</si>
  <si>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</si>
  <si>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</si>
  <si>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</si>
  <si>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</si>
  <si>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</si>
  <si>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</si>
  <si>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</si>
  <si>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</si>
  <si>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</si>
  <si>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</si>
  <si>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</si>
  <si>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</si>
  <si>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</si>
  <si>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</si>
  <si>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</si>
  <si>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</si>
  <si>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</si>
  <si>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</si>
  <si>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</si>
  <si>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</si>
  <si>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</si>
  <si>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</si>
  <si>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</si>
  <si>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</si>
  <si>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</si>
  <si>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</si>
  <si>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</si>
  <si>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</si>
  <si>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</si>
  <si>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</si>
  <si>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</si>
  <si>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</si>
  <si>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</si>
  <si>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</si>
  <si>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</si>
  <si>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</si>
  <si>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</si>
  <si>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</si>
  <si>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</si>
  <si>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</si>
  <si>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</si>
  <si>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</si>
  <si>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</si>
  <si>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</si>
  <si>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</si>
  <si>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</si>
  <si>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</si>
  <si>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</si>
  <si>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</si>
  <si>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</si>
  <si>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</si>
  <si>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</si>
  <si>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</si>
  <si>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</si>
  <si>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</si>
  <si>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</si>
  <si>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</si>
  <si>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</si>
  <si>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</si>
  <si>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</si>
  <si>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</si>
  <si>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Sum of Sales</t>
  </si>
  <si>
    <t>Jan</t>
  </si>
  <si>
    <t>Feb</t>
  </si>
  <si>
    <t>Mar</t>
  </si>
  <si>
    <t>Apr</t>
  </si>
  <si>
    <t>May</t>
  </si>
  <si>
    <t>Jun</t>
  </si>
  <si>
    <t>Jul</t>
  </si>
  <si>
    <t>Aug</t>
  </si>
  <si>
    <t>Sep</t>
  </si>
  <si>
    <t>Oct</t>
  </si>
  <si>
    <t>Nov</t>
  </si>
  <si>
    <t>Dec</t>
  </si>
  <si>
    <t>Years (Order Date)</t>
  </si>
  <si>
    <t>Months (Order Date)</t>
  </si>
  <si>
    <t>Arabica</t>
  </si>
  <si>
    <t>Excelsa</t>
  </si>
  <si>
    <t>Liberica</t>
  </si>
  <si>
    <t>Robusta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</si>
</sst>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0.0"/>
    <numFmt numFmtId="167" formatCode="dd/mmm/yyyy"/>
    <numFmt numFmtId="168" formatCode="0.0\ &quot;kg&quot;"/>
    <numFmt numFmtId="169" formatCode="[$$-409]#,##0_);\([$$-409]#,##0\)"/>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9">
    <xf numFmtId="0" fontId="0" fillId="0" borderId="0" xfId="0"/>
    <xf numFmtId="164" fontId="0" fillId="0" borderId="0" xfId="0" applyNumberFormat="1"/>
    <xf numFmtId="0" fontId="1" fillId="0" borderId="0" xfId="0" applyFont="1" applyAlignment="1">
      <alignment vertical="center"/>
    </xf>
    <xf numFmtId="167" fontId="1" fillId="0" borderId="0" xfId="0" applyNumberFormat="1" applyFont="1" applyAlignment="1">
      <alignment vertical="center"/>
    </xf>
    <xf numFmtId="168" fontId="0" fillId="0" borderId="0" xfId="0" applyNumberFormat="1"/>
    <xf numFmtId="44" fontId="0" fillId="0" borderId="0" xfId="1" applyFont="1"/>
    <xf numFmtId="0" fontId="0" fillId="0" borderId="0" xfId="0" pivotButton="1"/>
    <xf numFmtId="37" fontId="0" fillId="0" borderId="0" xfId="0" applyNumberFormat="1"/>
    <xf numFmtId="169" fontId="0" fillId="0" borderId="0" xfId="0" applyNumberFormat="1"/>
  </cellXfs>
  <cellStyles count="2">
    <cellStyle name="Currency" xfId="1" builtinId="4"/>
    <cellStyle name="Normal" xfId="0" builtinId="0"/>
  </cellStyles>
  <dxfs count="12">
    <dxf>
      <numFmt numFmtId="0" formatCode="General"/>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8"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7"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Dashboard.xlsx]TotalSales!TotalSales</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9BE8-4FB6-961F-3840EE418CF8}"/>
            </c:ext>
          </c:extLst>
        </c:ser>
        <c:ser>
          <c:idx val="1"/>
          <c:order val="1"/>
          <c:tx>
            <c:strRef>
              <c:f>TotalSales!$D$3:$D$4</c:f>
              <c:strCache>
                <c:ptCount val="1"/>
                <c:pt idx="0">
                  <c:v>Excelsa</c:v>
                </c:pt>
              </c:strCache>
            </c:strRef>
          </c:tx>
          <c:spPr>
            <a:ln w="28575" cap="rnd">
              <a:solidFill>
                <a:schemeClr val="accent2"/>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9BE8-4FB6-961F-3840EE418CF8}"/>
            </c:ext>
          </c:extLst>
        </c:ser>
        <c:ser>
          <c:idx val="2"/>
          <c:order val="2"/>
          <c:tx>
            <c:strRef>
              <c:f>TotalSales!$E$3:$E$4</c:f>
              <c:strCache>
                <c:ptCount val="1"/>
                <c:pt idx="0">
                  <c:v>Liberica</c:v>
                </c:pt>
              </c:strCache>
            </c:strRef>
          </c:tx>
          <c:spPr>
            <a:ln w="28575" cap="rnd">
              <a:solidFill>
                <a:schemeClr val="accent3"/>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9BE8-4FB6-961F-3840EE418CF8}"/>
            </c:ext>
          </c:extLst>
        </c:ser>
        <c:ser>
          <c:idx val="3"/>
          <c:order val="3"/>
          <c:tx>
            <c:strRef>
              <c:f>TotalSales!$F$3:$F$4</c:f>
              <c:strCache>
                <c:ptCount val="1"/>
                <c:pt idx="0">
                  <c:v>Robusta</c:v>
                </c:pt>
              </c:strCache>
            </c:strRef>
          </c:tx>
          <c:spPr>
            <a:ln w="28575" cap="rnd">
              <a:solidFill>
                <a:schemeClr val="accent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9BE8-4FB6-961F-3840EE418CF8}"/>
            </c:ext>
          </c:extLst>
        </c:ser>
        <c:dLbls>
          <c:showLegendKey val="0"/>
          <c:showVal val="0"/>
          <c:showCatName val="0"/>
          <c:showSerName val="0"/>
          <c:showPercent val="0"/>
          <c:showBubbleSize val="0"/>
        </c:dLbls>
        <c:smooth val="0"/>
        <c:axId val="887092752"/>
        <c:axId val="887093232"/>
      </c:lineChart>
      <c:catAx>
        <c:axId val="887092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093232"/>
        <c:crosses val="autoZero"/>
        <c:auto val="1"/>
        <c:lblAlgn val="ctr"/>
        <c:lblOffset val="100"/>
        <c:noMultiLvlLbl val="0"/>
      </c:catAx>
      <c:valAx>
        <c:axId val="887093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092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Dashboard.xlsx]CountryBarChart!TotalSales</c:name>
    <c:fmtId val="15"/>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CountryBarChart!$B$3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[$$-409]#,##0_);\([$$-409]#,##0\)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1482-4944-9C17-296E3770B5A3}"/>
            </c:ext>
          </c:extLst>
        </c:ser>
        <c:dLbls>
          <c:dLblPos val="outEnd"/>
          <c:showLegendKey val="0"/>
          <c:showVal val="1"/>
          <c:showCatName val="0"/>
          <c:showSerName val="0"/>
          <c:showPercent val="0"/>
          <c:showBubbleSize val="0"/>
        </c:dLbls>
        <c:gapWidth val="100"/>
        <c:axId val="178544112"/>
        <c:axId val="178542192"/>
      </c:barChart>
      <c:catAx>
        <c:axId val="178544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8542192"/>
        <c:crosses val="autoZero"/>
        <c:auto val="1"/>
        <c:lblAlgn val="ctr"/>
        <c:lblOffset val="100"/>
        <c:noMultiLvlLbl val="0"/>
      </c:catAx>
      <c:valAx>
        <c:axId val="178542192"/>
        <c:scaling>
          <c:orientation val="minMax"/>
        </c:scaling>
        <c:delete val="0"/>
        <c:axPos val="b"/>
        <c:majorGridlines>
          <c:spPr>
            <a:ln w="9525" cap="flat" cmpd="sng" algn="ctr">
              <a:solidFill>
                <a:schemeClr val="tx1">
                  <a:lumMod val="15000"/>
                  <a:lumOff val="8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8544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Dashboard.xlsx]Top5Customers!TotalSales</c:name>
    <c:fmtId val="16"/>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[$$-409]#,##0_);\([$$-409]#,##0\)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BB43-4EB2-9A71-694CD6083BDC}"/>
            </c:ext>
          </c:extLst>
        </c:ser>
        <c:dLbls>
          <c:dLblPos val="outEnd"/>
          <c:showLegendKey val="0"/>
          <c:showVal val="1"/>
          <c:showCatName val="0"/>
          <c:showSerName val="0"/>
          <c:showPercent val="0"/>
          <c:showBubbleSize val="0"/>
        </c:dLbls>
        <c:gapWidth val="100"/>
        <c:axId val="178544112"/>
        <c:axId val="178542192"/>
      </c:barChart>
      <c:catAx>
        <c:axId val="178544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8542192"/>
        <c:crosses val="autoZero"/>
        <c:auto val="1"/>
        <c:lblAlgn val="ctr"/>
        <c:lblOffset val="100"/>
        <c:noMultiLvlLbl val="0"/>
      </c:catAx>
      <c:valAx>
        <c:axId val="178542192"/>
        <c:scaling>
          <c:orientation val="minMax"/>
        </c:scaling>
        <c:delete val="0"/>
        <c:axPos val="b"/>
        <c:majorGridlines>
          <c:spPr>
            <a:ln w="9525" cap="flat" cmpd="sng" algn="ctr">
              <a:solidFill>
                <a:schemeClr val="tx1">
                  <a:lumMod val="15000"/>
                  <a:lumOff val="8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8544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25</xdr:col>
      <xdr:colOff>0</xdr:colOff>
      <xdr:row>5</xdr:row>
      <xdr:rowOff>22860</xdr:rowOff>
    </xdr:to>
    <xdr:sp macro="" textlink="">
      <xdr:nvSpPr>
        <xdr:cNvPr id="2" name="Rectangle 1">
          <a:extLst>
            <a:ext uri="{FF2B5EF4-FFF2-40B4-BE49-F238E27FC236}">
              <a16:creationId xmlns:a16="http://schemas.microsoft.com/office/drawing/2014/main" id="{D21ADEDE-72AB-E97C-9FA5-15765A1A4E54}"/>
            </a:ext>
          </a:extLst>
        </xdr:cNvPr>
        <xdr:cNvSpPr/>
      </xdr:nvSpPr>
      <xdr:spPr>
        <a:xfrm>
          <a:off x="121920" y="60960"/>
          <a:ext cx="14630400" cy="7543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a:solidFill>
                <a:schemeClr val="bg1"/>
              </a:solidFill>
            </a:rPr>
            <a:t>COFFEE SALES</a:t>
          </a:r>
          <a:r>
            <a:rPr lang="en-US" sz="4800" baseline="0">
              <a:solidFill>
                <a:schemeClr val="bg1"/>
              </a:solidFill>
            </a:rPr>
            <a:t> DASHBOARD</a:t>
          </a:r>
        </a:p>
        <a:p>
          <a:pPr algn="l"/>
          <a:endParaRPr lang="en-US" sz="1100">
            <a:solidFill>
              <a:schemeClr val="bg1"/>
            </a:solidFill>
          </a:endParaRPr>
        </a:p>
      </xdr:txBody>
    </xdr:sp>
    <xdr:clientData/>
  </xdr:twoCellAnchor>
  <xdr:twoCellAnchor>
    <xdr:from>
      <xdr:col>1</xdr:col>
      <xdr:colOff>12780</xdr:colOff>
      <xdr:row>15</xdr:row>
      <xdr:rowOff>0</xdr:rowOff>
    </xdr:from>
    <xdr:to>
      <xdr:col>14</xdr:col>
      <xdr:colOff>0</xdr:colOff>
      <xdr:row>35</xdr:row>
      <xdr:rowOff>0</xdr:rowOff>
    </xdr:to>
    <xdr:graphicFrame macro="">
      <xdr:nvGraphicFramePr>
        <xdr:cNvPr id="3" name="Chart 2">
          <a:extLst>
            <a:ext uri="{FF2B5EF4-FFF2-40B4-BE49-F238E27FC236}">
              <a16:creationId xmlns:a16="http://schemas.microsoft.com/office/drawing/2014/main" id="{AEA0AC79-B240-4E19-BC30-A289C428C6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3023</xdr:rowOff>
    </xdr:from>
    <xdr:to>
      <xdr:col>19</xdr:col>
      <xdr:colOff>21771</xdr:colOff>
      <xdr:row>14</xdr:row>
      <xdr:rowOff>173567</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32C98A66-26C3-4EF7-A959-17C6BFDF4193}"/>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23825" y="965048"/>
              <a:ext cx="10994571" cy="161834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21</xdr:col>
      <xdr:colOff>604157</xdr:colOff>
      <xdr:row>10</xdr:row>
      <xdr:rowOff>30929</xdr:rowOff>
    </xdr:from>
    <xdr:to>
      <xdr:col>25</xdr:col>
      <xdr:colOff>0</xdr:colOff>
      <xdr:row>14</xdr:row>
      <xdr:rowOff>172720</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7CD85C8A-F162-4A71-AF4D-0905C96C738A}"/>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2919982" y="1716854"/>
              <a:ext cx="1834243" cy="8656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17929</xdr:colOff>
      <xdr:row>6</xdr:row>
      <xdr:rowOff>10886</xdr:rowOff>
    </xdr:from>
    <xdr:to>
      <xdr:col>25</xdr:col>
      <xdr:colOff>0</xdr:colOff>
      <xdr:row>10</xdr:row>
      <xdr:rowOff>53788</xdr:rowOff>
    </xdr:to>
    <mc:AlternateContent xmlns:mc="http://schemas.openxmlformats.org/markup-compatibility/2006">
      <mc:Choice xmlns:a14="http://schemas.microsoft.com/office/drawing/2010/main" Requires="a14">
        <xdr:graphicFrame macro="">
          <xdr:nvGraphicFramePr>
            <xdr:cNvPr id="6" name="Roast Type Name">
              <a:extLst>
                <a:ext uri="{FF2B5EF4-FFF2-40B4-BE49-F238E27FC236}">
                  <a16:creationId xmlns:a16="http://schemas.microsoft.com/office/drawing/2014/main" id="{C7E006A6-717C-40D5-909B-8BECD408CAC5}"/>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1114554" y="972911"/>
              <a:ext cx="3639671" cy="7668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17929</xdr:colOff>
      <xdr:row>10</xdr:row>
      <xdr:rowOff>52443</xdr:rowOff>
    </xdr:from>
    <xdr:to>
      <xdr:col>22</xdr:col>
      <xdr:colOff>5443</xdr:colOff>
      <xdr:row>14</xdr:row>
      <xdr:rowOff>170330</xdr:rowOff>
    </xdr:to>
    <mc:AlternateContent xmlns:mc="http://schemas.openxmlformats.org/markup-compatibility/2006">
      <mc:Choice xmlns:a14="http://schemas.microsoft.com/office/drawing/2010/main" Requires="a14">
        <xdr:graphicFrame macro="">
          <xdr:nvGraphicFramePr>
            <xdr:cNvPr id="7" name="Loyalty Card">
              <a:extLst>
                <a:ext uri="{FF2B5EF4-FFF2-40B4-BE49-F238E27FC236}">
                  <a16:creationId xmlns:a16="http://schemas.microsoft.com/office/drawing/2014/main" id="{62EFA69B-33F4-40BB-963F-66E8EC133E3A}"/>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1114554" y="1738368"/>
              <a:ext cx="1816314" cy="8417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0</xdr:colOff>
      <xdr:row>14</xdr:row>
      <xdr:rowOff>185056</xdr:rowOff>
    </xdr:from>
    <xdr:to>
      <xdr:col>25</xdr:col>
      <xdr:colOff>0</xdr:colOff>
      <xdr:row>24</xdr:row>
      <xdr:rowOff>76199</xdr:rowOff>
    </xdr:to>
    <xdr:graphicFrame macro="">
      <xdr:nvGraphicFramePr>
        <xdr:cNvPr id="8" name="Chart 7">
          <a:extLst>
            <a:ext uri="{FF2B5EF4-FFF2-40B4-BE49-F238E27FC236}">
              <a16:creationId xmlns:a16="http://schemas.microsoft.com/office/drawing/2014/main" id="{FFB7BDCE-4FE7-4770-8C02-4D60F11FA5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24</xdr:row>
      <xdr:rowOff>89647</xdr:rowOff>
    </xdr:from>
    <xdr:to>
      <xdr:col>25</xdr:col>
      <xdr:colOff>0</xdr:colOff>
      <xdr:row>35</xdr:row>
      <xdr:rowOff>0</xdr:rowOff>
    </xdr:to>
    <xdr:graphicFrame macro="">
      <xdr:nvGraphicFramePr>
        <xdr:cNvPr id="9" name="Chart 8">
          <a:extLst>
            <a:ext uri="{FF2B5EF4-FFF2-40B4-BE49-F238E27FC236}">
              <a16:creationId xmlns:a16="http://schemas.microsoft.com/office/drawing/2014/main" id="{07FBE2F4-0E22-4BDB-BF59-4FCEBE0424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ad Abdallah" refreshedDate="46185.0003818287" createdVersion="8" refreshedVersion="8" minRefreshableVersion="3" recordCount="1000" xr:uid="{C802A22F-0BD0-4E14-91C3-611162FDE064}">
  <cacheSource type="worksheet">
    <worksheetSource name="Orders"/>
  </cacheSource>
  <cacheFields count="18">
    <cacheField name="Order ID" numFmtId="0">
      <sharedItems/>
    </cacheField>
    <cacheField name="Order Date" numFmtId="167">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8">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2-1-2019"/>
          <s v="Jan"/>
          <s v="Feb"/>
          <s v="Mar"/>
          <s v="Apr"/>
          <s v="May"/>
          <s v="Jun"/>
          <s v="Jul"/>
          <s v="Aug"/>
          <s v="Sep"/>
          <s v="Oct"/>
          <s v="Nov"/>
          <s v="Dec"/>
          <s v="&gt;20-8-2022"/>
        </groupItems>
      </fieldGroup>
    </cacheField>
    <cacheField name="Years (Order Date)" numFmtId="0" databaseField="0">
      <fieldGroup base="1">
        <rangePr groupBy="years" startDate="2019-01-02T00:00:00" endDate="2022-08-20T00:00:00"/>
        <groupItems count="6">
          <s v="&lt;2-1-2019"/>
          <s v="2019"/>
          <s v="2020"/>
          <s v="2021"/>
          <s v="2022"/>
          <s v="&gt;20-8-2022"/>
        </groupItems>
      </fieldGroup>
    </cacheField>
  </cacheFields>
  <extLst>
    <ext xmlns:x14="http://schemas.microsoft.com/office/spreadsheetml/2009/9/main" uri="{725AE2AE-9491-48be-B2B4-4EB974FC3084}">
      <x14:pivotCacheDefinition pivotCacheId="17470474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AD8A0D-6B8A-4530-9783-18292329376F}" name="TotalSales" cacheId="1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0">
  <location ref="A3:F48" firstHeaderRow="1" firstDataRow="2" firstDataCol="2"/>
  <pivotFields count="18">
    <pivotField compact="0" outline="0" showAll="0" defaultSubtotal="0"/>
    <pivotField compact="0" numFmtId="167"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8" outline="0" showAll="0" defaultSubtotal="0">
      <items count="4">
        <item x="3"/>
        <item x="1"/>
        <item x="0"/>
        <item x="2"/>
      </items>
    </pivotField>
    <pivotField compact="0" numFmtId="44" outline="0" showAll="0" defaultSubtotal="0"/>
    <pivotField dataField="1" compact="0" numFmtId="44"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37"/>
  </dataFields>
  <chartFormats count="4">
    <chartFormat chart="9" format="8" series="1">
      <pivotArea type="data" outline="0" fieldPosition="0">
        <references count="2">
          <reference field="4294967294" count="1" selected="0">
            <x v="0"/>
          </reference>
          <reference field="13" count="1" selected="0">
            <x v="0"/>
          </reference>
        </references>
      </pivotArea>
    </chartFormat>
    <chartFormat chart="9" format="9" series="1">
      <pivotArea type="data" outline="0" fieldPosition="0">
        <references count="2">
          <reference field="4294967294" count="1" selected="0">
            <x v="0"/>
          </reference>
          <reference field="13" count="1" selected="0">
            <x v="1"/>
          </reference>
        </references>
      </pivotArea>
    </chartFormat>
    <chartFormat chart="9" format="10" series="1">
      <pivotArea type="data" outline="0" fieldPosition="0">
        <references count="2">
          <reference field="4294967294" count="1" selected="0">
            <x v="0"/>
          </reference>
          <reference field="13" count="1" selected="0">
            <x v="2"/>
          </reference>
        </references>
      </pivotArea>
    </chartFormat>
    <chartFormat chart="9"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D27978-FAB5-4DD1-A90E-79BC0E385DEB}" name="TotalSales" cacheId="1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6">
  <location ref="A3:B6" firstHeaderRow="1" firstDataRow="1" firstDataCol="1"/>
  <pivotFields count="18">
    <pivotField compact="0" outline="0" showAll="0" defaultSubtotal="0"/>
    <pivotField compact="0" numFmtId="167"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8"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9"/>
  </dataFields>
  <chartFormats count="1">
    <chartFormat chart="15"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F03183-5F8C-4375-9780-741E7BEE03BD}" name="TotalSales" cacheId="1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7">
  <location ref="A3:B8" firstHeaderRow="1" firstDataRow="1" firstDataCol="1"/>
  <pivotFields count="18">
    <pivotField compact="0" outline="0" showAll="0" defaultSubtotal="0"/>
    <pivotField compact="0" numFmtId="167"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8"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9"/>
  </dataFields>
  <chartFormats count="5">
    <chartFormat chart="7" format="8"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5DBC67EE-E522-441B-B391-358118E026F7}" sourceName="Size">
  <pivotTables>
    <pivotTable tabId="18" name="TotalSales"/>
    <pivotTable tabId="19" name="TotalSales"/>
    <pivotTable tabId="20" name="TotalSales"/>
  </pivotTables>
  <data>
    <tabular pivotCacheId="1747047414">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B4ED3BF8-FB8C-43F0-9358-047E80B98635}" sourceName="Roast Type Name">
  <pivotTables>
    <pivotTable tabId="18" name="TotalSales"/>
    <pivotTable tabId="19" name="TotalSales"/>
    <pivotTable tabId="20" name="TotalSales"/>
  </pivotTables>
  <data>
    <tabular pivotCacheId="174704741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AE7E9293-C23A-491C-8546-33786C70EF41}" sourceName="Loyalty Card">
  <pivotTables>
    <pivotTable tabId="18" name="TotalSales"/>
    <pivotTable tabId="19" name="TotalSales"/>
    <pivotTable tabId="20" name="TotalSales"/>
  </pivotTables>
  <data>
    <tabular pivotCacheId="174704741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D85760DE-B753-405A-8771-7B454C2BE971}" cache="Slicer_Size" caption="Size" columnCount="2" style="SlicerStyleLight5" rowHeight="234950"/>
  <slicer name="Roast Type Name" xr10:uid="{8EEEBF0A-29A9-45CA-B2D1-6525CC85AEAE}" cache="Slicer_Roast_Type_Name" caption="Roast Type Name" columnCount="3" style="SlicerStyleLight5" rowHeight="234950"/>
  <slicer name="Loyalty Card" xr10:uid="{52C405DD-F9EC-4622-B0D9-94EBD9625A1E}" cache="Slicer_Loyalty_Card" caption="Loyalty Card" style="SlicerStyleLigh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0F8788-BB65-4DA6-858C-7C6FC7B4AF5C}" name="Orders" displayName="Orders" ref="A1:P1001" totalsRowShown="0" headerRowDxfId="1">
  <autoFilter ref="A1:P1001" xr:uid="{BE0F8788-BB65-4DA6-858C-7C6FC7B4AF5C}"/>
  <tableColumns count="16">
    <tableColumn id="1" xr3:uid="{9CEEA6AE-6C46-4AA1-9754-B0B1DD10A4C5}" name="Order ID" dataDxfId="11"/>
    <tableColumn id="2" xr3:uid="{B05704F5-073E-4A2F-8ED4-94A71A67CB83}" name="Order Date" dataDxfId="10"/>
    <tableColumn id="3" xr3:uid="{04C2E755-69DD-4978-B57D-343EB8161E24}" name="Customer ID" dataDxfId="9"/>
    <tableColumn id="4" xr3:uid="{C43D5B75-2746-4191-BE0F-F9732183E802}" name="Product ID"/>
    <tableColumn id="5" xr3:uid="{B4A9473E-E95C-4573-BF83-5B61650A03DD}" name="Quantity" dataDxfId="8"/>
    <tableColumn id="6" xr3:uid="{A2575967-9819-423F-997E-067DD2B23948}" name="Customer Name" dataDxfId="7">
      <calculatedColumnFormula>_xlfn.XLOOKUP(C2,customers!$A$1:$A$1001,customers!$B$1:$B$1001,,0)</calculatedColumnFormula>
    </tableColumn>
    <tableColumn id="7" xr3:uid="{9DBE8461-5FC7-44B9-A3B6-987360AC667D}" name="Email" dataDxfId="6">
      <calculatedColumnFormula>IF(_xlfn.XLOOKUP(C2,customers!$A$1:$A$1001,customers!$C$1:$C$1001,,0)=0,"",_xlfn.XLOOKUP(C2,customers!$A$1:$A$1001,customers!$C$1:$C$1001,,0))</calculatedColumnFormula>
    </tableColumn>
    <tableColumn id="8" xr3:uid="{4CF64989-E7FE-4982-ADB0-159DAE7B45C0}" name="Country" dataDxfId="5">
      <calculatedColumnFormula>_xlfn.XLOOKUP(C2,customers!$A$1:$A$1001,customers!$G$1:$G$1001,,0)</calculatedColumnFormula>
    </tableColumn>
    <tableColumn id="9" xr3:uid="{5E55A980-A613-4EF4-9ABA-9C96285E76C3}" name="Coffee Type">
      <calculatedColumnFormula>INDEX(products!$A$1:$G$49,MATCH(orders!$D2,products!$A$1:$A$49,0),MATCH(orders!I$1,products!$A$1:$G$1,0))</calculatedColumnFormula>
    </tableColumn>
    <tableColumn id="10" xr3:uid="{59B7664C-8828-4E36-AF36-E95DDC200663}" name="Roast Type">
      <calculatedColumnFormula>INDEX(products!$A$1:$G$49,MATCH(orders!$D2,products!$A$1:$A$49,0),MATCH(orders!J$1,products!$A$1:$G$1,0))</calculatedColumnFormula>
    </tableColumn>
    <tableColumn id="11" xr3:uid="{5D30945E-B1DF-476E-BBB0-73FD36FD59B2}" name="Size" dataDxfId="4">
      <calculatedColumnFormula>INDEX(products!$A$1:$G$49,MATCH(orders!$D2,products!$A$1:$A$49,0),MATCH(orders!K$1,products!$A$1:$G$1,0))</calculatedColumnFormula>
    </tableColumn>
    <tableColumn id="12" xr3:uid="{476A5DC3-3934-4585-8E21-4A9020F18530}" name="Unit Price" dataDxfId="3" dataCellStyle="Currency">
      <calculatedColumnFormula>INDEX(products!$A$1:$G$49,MATCH(orders!$D2,products!$A$1:$A$49,0),MATCH(orders!L$1,products!$A$1:$G$1,0))</calculatedColumnFormula>
    </tableColumn>
    <tableColumn id="13" xr3:uid="{9CDA862C-EF26-4A2A-B50B-943B57F5D5F0}" name="Sales" dataDxfId="2" dataCellStyle="Currency">
      <calculatedColumnFormula>L2*E2</calculatedColumnFormula>
    </tableColumn>
    <tableColumn id="14" xr3:uid="{D9567444-196B-40AE-858D-A3F4CA1A47B1}" name="Coffee Type Name">
      <calculatedColumnFormula>IF(I2="Rob","Robusta",IF(I2="Exc","Excelsa",IF(I2="Ara","Arabica",IF(I2="Lib","Liberica",""))))</calculatedColumnFormula>
    </tableColumn>
    <tableColumn id="15" xr3:uid="{1A1CCE2E-4AAD-40A0-87E7-3E5EB674DCAA}" name="Roast Type Name">
      <calculatedColumnFormula>IF(J2="M","Medium",IF(J2="L","Light",IF(J2="D","Dark","")))</calculatedColumnFormula>
    </tableColumn>
    <tableColumn id="16" xr3:uid="{B61C0A9F-4351-47A4-9EB4-56F36072ECF2}" name="Loyalty Card" dataDxfId="0">
      <calculatedColumnFormula>_xlfn.XLOOKUP(Orders[[#This Row],[Customer ID]],customers!$A$1:$A$1001,customers!$I$1:$I$1001,,0)</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E0846BC-8B5D-4D58-9418-4A8B0801B02C}" sourceName="Order Date">
  <pivotTables>
    <pivotTable tabId="18" name="TotalSales"/>
    <pivotTable tabId="19" name="TotalSales"/>
    <pivotTable tabId="20" name="TotalSales"/>
  </pivotTables>
  <state minimalRefreshVersion="6" lastRefreshVersion="6" pivotCacheId="1747047414"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14966C3F-3BA6-4262-8924-A3941739E3B5}" cache="NativeTimeline_Order_Date" caption="Order Date" level="2" selectionLevel="2" scrollPosition="2020-11-16T00:00:00" style="TimeSlicerStyleDark5"/>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7FDCB-B896-4E2F-97C1-6C1CC0DBD25B}">
  <dimension ref="A1"/>
  <sheetViews>
    <sheetView showGridLines="0" tabSelected="1" zoomScale="80" zoomScaleNormal="80" workbookViewId="0">
      <selection activeCell="AB14" sqref="AB14"/>
    </sheetView>
  </sheetViews>
  <sheetFormatPr defaultRowHeight="14.4" x14ac:dyDescent="0.3"/>
  <cols>
    <col min="1" max="1" width="1.77734375" customWidth="1"/>
  </cols>
  <sheetData>
    <row r="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5AB7F-C14C-446D-A84D-9E1EFC6FDE95}">
  <dimension ref="A3:F48"/>
  <sheetViews>
    <sheetView topLeftCell="B1" zoomScale="85" zoomScaleNormal="85" workbookViewId="0">
      <selection activeCell="C9" sqref="C9"/>
    </sheetView>
  </sheetViews>
  <sheetFormatPr defaultRowHeight="14.4" x14ac:dyDescent="0.3"/>
  <cols>
    <col min="1" max="1" width="13.44140625" bestFit="1" customWidth="1"/>
    <col min="2" max="2" width="22.44140625" bestFit="1" customWidth="1"/>
    <col min="3" max="3" width="19.88671875" bestFit="1" customWidth="1"/>
    <col min="4" max="4" width="7.21875" bestFit="1" customWidth="1"/>
    <col min="5" max="5" width="7.77734375" bestFit="1" customWidth="1"/>
    <col min="6" max="6" width="8.21875" bestFit="1" customWidth="1"/>
  </cols>
  <sheetData>
    <row r="3" spans="1:6" x14ac:dyDescent="0.3">
      <c r="A3" s="6" t="s">
        <v>6202</v>
      </c>
      <c r="C3" s="6" t="s">
        <v>6196</v>
      </c>
    </row>
    <row r="4" spans="1:6" x14ac:dyDescent="0.3">
      <c r="A4" s="6" t="s">
        <v>6215</v>
      </c>
      <c r="B4" s="6" t="s">
        <v>6216</v>
      </c>
      <c r="C4" t="s">
        <v>6217</v>
      </c>
      <c r="D4" t="s">
        <v>6218</v>
      </c>
      <c r="E4" t="s">
        <v>6219</v>
      </c>
      <c r="F4" t="s">
        <v>6220</v>
      </c>
    </row>
    <row r="5" spans="1:6" x14ac:dyDescent="0.3">
      <c r="A5" t="s">
        <v>6198</v>
      </c>
      <c r="B5" t="s">
        <v>6203</v>
      </c>
      <c r="C5" s="7">
        <v>186.85499999999999</v>
      </c>
      <c r="D5" s="7">
        <v>305.97000000000003</v>
      </c>
      <c r="E5" s="7">
        <v>213.15999999999997</v>
      </c>
      <c r="F5" s="7">
        <v>123</v>
      </c>
    </row>
    <row r="6" spans="1:6" x14ac:dyDescent="0.3">
      <c r="B6" t="s">
        <v>6204</v>
      </c>
      <c r="C6" s="7">
        <v>251.96499999999997</v>
      </c>
      <c r="D6" s="7">
        <v>129.46</v>
      </c>
      <c r="E6" s="7">
        <v>434.03999999999996</v>
      </c>
      <c r="F6" s="7">
        <v>171.93999999999997</v>
      </c>
    </row>
    <row r="7" spans="1:6" x14ac:dyDescent="0.3">
      <c r="B7" t="s">
        <v>6205</v>
      </c>
      <c r="C7" s="7">
        <v>224.94499999999999</v>
      </c>
      <c r="D7" s="7">
        <v>349.12</v>
      </c>
      <c r="E7" s="7">
        <v>321.04000000000002</v>
      </c>
      <c r="F7" s="7">
        <v>126.035</v>
      </c>
    </row>
    <row r="8" spans="1:6" x14ac:dyDescent="0.3">
      <c r="B8" t="s">
        <v>6206</v>
      </c>
      <c r="C8" s="7">
        <v>307.12</v>
      </c>
      <c r="D8" s="7">
        <v>681.07499999999993</v>
      </c>
      <c r="E8" s="7">
        <v>533.70499999999993</v>
      </c>
      <c r="F8" s="7">
        <v>158.85</v>
      </c>
    </row>
    <row r="9" spans="1:6" x14ac:dyDescent="0.3">
      <c r="B9" t="s">
        <v>6207</v>
      </c>
      <c r="C9" s="7">
        <v>53.664999999999992</v>
      </c>
      <c r="D9" s="7">
        <v>83.025000000000006</v>
      </c>
      <c r="E9" s="7">
        <v>193.83499999999998</v>
      </c>
      <c r="F9" s="7">
        <v>68.039999999999992</v>
      </c>
    </row>
    <row r="10" spans="1:6" x14ac:dyDescent="0.3">
      <c r="B10" t="s">
        <v>6208</v>
      </c>
      <c r="C10" s="7">
        <v>163.01999999999998</v>
      </c>
      <c r="D10" s="7">
        <v>678.3599999999999</v>
      </c>
      <c r="E10" s="7">
        <v>171.04500000000002</v>
      </c>
      <c r="F10" s="7">
        <v>372.255</v>
      </c>
    </row>
    <row r="11" spans="1:6" x14ac:dyDescent="0.3">
      <c r="B11" t="s">
        <v>6209</v>
      </c>
      <c r="C11" s="7">
        <v>345.02</v>
      </c>
      <c r="D11" s="7">
        <v>273.86999999999995</v>
      </c>
      <c r="E11" s="7">
        <v>184.12999999999997</v>
      </c>
      <c r="F11" s="7">
        <v>201.11499999999998</v>
      </c>
    </row>
    <row r="12" spans="1:6" x14ac:dyDescent="0.3">
      <c r="B12" t="s">
        <v>6210</v>
      </c>
      <c r="C12" s="7">
        <v>334.89</v>
      </c>
      <c r="D12" s="7">
        <v>70.95</v>
      </c>
      <c r="E12" s="7">
        <v>134.23000000000002</v>
      </c>
      <c r="F12" s="7">
        <v>166.27499999999998</v>
      </c>
    </row>
    <row r="13" spans="1:6" x14ac:dyDescent="0.3">
      <c r="B13" t="s">
        <v>6211</v>
      </c>
      <c r="C13" s="7">
        <v>178.70999999999998</v>
      </c>
      <c r="D13" s="7">
        <v>166.1</v>
      </c>
      <c r="E13" s="7">
        <v>439.30999999999995</v>
      </c>
      <c r="F13" s="7">
        <v>492.9</v>
      </c>
    </row>
    <row r="14" spans="1:6" x14ac:dyDescent="0.3">
      <c r="B14" t="s">
        <v>6212</v>
      </c>
      <c r="C14" s="7">
        <v>301.98500000000001</v>
      </c>
      <c r="D14" s="7">
        <v>153.76499999999999</v>
      </c>
      <c r="E14" s="7">
        <v>215.55499999999998</v>
      </c>
      <c r="F14" s="7">
        <v>213.66499999999999</v>
      </c>
    </row>
    <row r="15" spans="1:6" x14ac:dyDescent="0.3">
      <c r="B15" t="s">
        <v>6213</v>
      </c>
      <c r="C15" s="7">
        <v>312.83499999999998</v>
      </c>
      <c r="D15" s="7">
        <v>63.249999999999993</v>
      </c>
      <c r="E15" s="7">
        <v>350.89500000000004</v>
      </c>
      <c r="F15" s="7">
        <v>96.405000000000001</v>
      </c>
    </row>
    <row r="16" spans="1:6" x14ac:dyDescent="0.3">
      <c r="B16" t="s">
        <v>6214</v>
      </c>
      <c r="C16" s="7">
        <v>265.62</v>
      </c>
      <c r="D16" s="7">
        <v>526.51499999999987</v>
      </c>
      <c r="E16" s="7">
        <v>187.06</v>
      </c>
      <c r="F16" s="7">
        <v>210.58999999999997</v>
      </c>
    </row>
    <row r="17" spans="1:6" x14ac:dyDescent="0.3">
      <c r="A17" t="s">
        <v>6199</v>
      </c>
      <c r="B17" t="s">
        <v>6203</v>
      </c>
      <c r="C17" s="7">
        <v>47.25</v>
      </c>
      <c r="D17" s="7">
        <v>65.805000000000007</v>
      </c>
      <c r="E17" s="7">
        <v>274.67500000000001</v>
      </c>
      <c r="F17" s="7">
        <v>179.22</v>
      </c>
    </row>
    <row r="18" spans="1:6" x14ac:dyDescent="0.3">
      <c r="B18" t="s">
        <v>6204</v>
      </c>
      <c r="C18" s="7">
        <v>745.44999999999993</v>
      </c>
      <c r="D18" s="7">
        <v>428.88499999999999</v>
      </c>
      <c r="E18" s="7">
        <v>194.17499999999998</v>
      </c>
      <c r="F18" s="7">
        <v>429.82999999999993</v>
      </c>
    </row>
    <row r="19" spans="1:6" x14ac:dyDescent="0.3">
      <c r="B19" t="s">
        <v>6205</v>
      </c>
      <c r="C19" s="7">
        <v>130.47</v>
      </c>
      <c r="D19" s="7">
        <v>271.48500000000001</v>
      </c>
      <c r="E19" s="7">
        <v>281.20499999999998</v>
      </c>
      <c r="F19" s="7">
        <v>231.63000000000002</v>
      </c>
    </row>
    <row r="20" spans="1:6" x14ac:dyDescent="0.3">
      <c r="B20" t="s">
        <v>6206</v>
      </c>
      <c r="C20" s="7">
        <v>27</v>
      </c>
      <c r="D20" s="7">
        <v>347.26</v>
      </c>
      <c r="E20" s="7">
        <v>147.51</v>
      </c>
      <c r="F20" s="7">
        <v>240.04</v>
      </c>
    </row>
    <row r="21" spans="1:6" x14ac:dyDescent="0.3">
      <c r="B21" t="s">
        <v>6207</v>
      </c>
      <c r="C21" s="7">
        <v>255.11499999999995</v>
      </c>
      <c r="D21" s="7">
        <v>541.73</v>
      </c>
      <c r="E21" s="7">
        <v>83.43</v>
      </c>
      <c r="F21" s="7">
        <v>59.079999999999991</v>
      </c>
    </row>
    <row r="22" spans="1:6" x14ac:dyDescent="0.3">
      <c r="B22" t="s">
        <v>6208</v>
      </c>
      <c r="C22" s="7">
        <v>584.78999999999985</v>
      </c>
      <c r="D22" s="7">
        <v>357.42999999999995</v>
      </c>
      <c r="E22" s="7">
        <v>355.34</v>
      </c>
      <c r="F22" s="7">
        <v>140.88</v>
      </c>
    </row>
    <row r="23" spans="1:6" x14ac:dyDescent="0.3">
      <c r="B23" t="s">
        <v>6209</v>
      </c>
      <c r="C23" s="7">
        <v>430.62</v>
      </c>
      <c r="D23" s="7">
        <v>227.42500000000001</v>
      </c>
      <c r="E23" s="7">
        <v>236.315</v>
      </c>
      <c r="F23" s="7">
        <v>414.58499999999992</v>
      </c>
    </row>
    <row r="24" spans="1:6" x14ac:dyDescent="0.3">
      <c r="B24" t="s">
        <v>6210</v>
      </c>
      <c r="C24" s="7">
        <v>22.5</v>
      </c>
      <c r="D24" s="7">
        <v>77.72</v>
      </c>
      <c r="E24" s="7">
        <v>60.5</v>
      </c>
      <c r="F24" s="7">
        <v>139.67999999999998</v>
      </c>
    </row>
    <row r="25" spans="1:6" x14ac:dyDescent="0.3">
      <c r="B25" t="s">
        <v>6211</v>
      </c>
      <c r="C25" s="7">
        <v>126.14999999999999</v>
      </c>
      <c r="D25" s="7">
        <v>195.11</v>
      </c>
      <c r="E25" s="7">
        <v>89.13</v>
      </c>
      <c r="F25" s="7">
        <v>302.65999999999997</v>
      </c>
    </row>
    <row r="26" spans="1:6" x14ac:dyDescent="0.3">
      <c r="B26" t="s">
        <v>6212</v>
      </c>
      <c r="C26" s="7">
        <v>376.03</v>
      </c>
      <c r="D26" s="7">
        <v>523.24</v>
      </c>
      <c r="E26" s="7">
        <v>440.96499999999997</v>
      </c>
      <c r="F26" s="7">
        <v>174.46999999999997</v>
      </c>
    </row>
    <row r="27" spans="1:6" x14ac:dyDescent="0.3">
      <c r="B27" t="s">
        <v>6213</v>
      </c>
      <c r="C27" s="7">
        <v>515.17999999999995</v>
      </c>
      <c r="D27" s="7">
        <v>142.56</v>
      </c>
      <c r="E27" s="7">
        <v>347.03999999999996</v>
      </c>
      <c r="F27" s="7">
        <v>104.08499999999999</v>
      </c>
    </row>
    <row r="28" spans="1:6" x14ac:dyDescent="0.3">
      <c r="B28" t="s">
        <v>6214</v>
      </c>
      <c r="C28" s="7">
        <v>95.859999999999985</v>
      </c>
      <c r="D28" s="7">
        <v>484.76</v>
      </c>
      <c r="E28" s="7">
        <v>94.17</v>
      </c>
      <c r="F28" s="7">
        <v>77.10499999999999</v>
      </c>
    </row>
    <row r="29" spans="1:6" x14ac:dyDescent="0.3">
      <c r="A29" t="s">
        <v>6200</v>
      </c>
      <c r="B29" t="s">
        <v>6203</v>
      </c>
      <c r="C29" s="7">
        <v>258.34500000000003</v>
      </c>
      <c r="D29" s="7">
        <v>139.625</v>
      </c>
      <c r="E29" s="7">
        <v>279.52000000000004</v>
      </c>
      <c r="F29" s="7">
        <v>160.19499999999999</v>
      </c>
    </row>
    <row r="30" spans="1:6" x14ac:dyDescent="0.3">
      <c r="B30" t="s">
        <v>6204</v>
      </c>
      <c r="C30" s="7">
        <v>342.2</v>
      </c>
      <c r="D30" s="7">
        <v>284.24999999999994</v>
      </c>
      <c r="E30" s="7">
        <v>251.83</v>
      </c>
      <c r="F30" s="7">
        <v>80.550000000000011</v>
      </c>
    </row>
    <row r="31" spans="1:6" x14ac:dyDescent="0.3">
      <c r="B31" t="s">
        <v>6205</v>
      </c>
      <c r="C31" s="7">
        <v>418.30499999999989</v>
      </c>
      <c r="D31" s="7">
        <v>468.125</v>
      </c>
      <c r="E31" s="7">
        <v>405.05500000000006</v>
      </c>
      <c r="F31" s="7">
        <v>253.15499999999997</v>
      </c>
    </row>
    <row r="32" spans="1:6" x14ac:dyDescent="0.3">
      <c r="B32" t="s">
        <v>6206</v>
      </c>
      <c r="C32" s="7">
        <v>102.32999999999998</v>
      </c>
      <c r="D32" s="7">
        <v>242.14000000000001</v>
      </c>
      <c r="E32" s="7">
        <v>554.875</v>
      </c>
      <c r="F32" s="7">
        <v>106.23999999999998</v>
      </c>
    </row>
    <row r="33" spans="1:6" x14ac:dyDescent="0.3">
      <c r="B33" t="s">
        <v>6207</v>
      </c>
      <c r="C33" s="7">
        <v>234.71999999999997</v>
      </c>
      <c r="D33" s="7">
        <v>133.08000000000001</v>
      </c>
      <c r="E33" s="7">
        <v>267.2</v>
      </c>
      <c r="F33" s="7">
        <v>272.68999999999994</v>
      </c>
    </row>
    <row r="34" spans="1:6" x14ac:dyDescent="0.3">
      <c r="B34" t="s">
        <v>6208</v>
      </c>
      <c r="C34" s="7">
        <v>430.39</v>
      </c>
      <c r="D34" s="7">
        <v>136.20500000000001</v>
      </c>
      <c r="E34" s="7">
        <v>209.6</v>
      </c>
      <c r="F34" s="7">
        <v>88.334999999999994</v>
      </c>
    </row>
    <row r="35" spans="1:6" x14ac:dyDescent="0.3">
      <c r="B35" t="s">
        <v>6209</v>
      </c>
      <c r="C35" s="7">
        <v>109.005</v>
      </c>
      <c r="D35" s="7">
        <v>393.57499999999999</v>
      </c>
      <c r="E35" s="7">
        <v>61.034999999999997</v>
      </c>
      <c r="F35" s="7">
        <v>199.48999999999998</v>
      </c>
    </row>
    <row r="36" spans="1:6" x14ac:dyDescent="0.3">
      <c r="B36" t="s">
        <v>6210</v>
      </c>
      <c r="C36" s="7">
        <v>287.52499999999998</v>
      </c>
      <c r="D36" s="7">
        <v>288.67</v>
      </c>
      <c r="E36" s="7">
        <v>125.58</v>
      </c>
      <c r="F36" s="7">
        <v>374.13499999999999</v>
      </c>
    </row>
    <row r="37" spans="1:6" x14ac:dyDescent="0.3">
      <c r="B37" t="s">
        <v>6211</v>
      </c>
      <c r="C37" s="7">
        <v>840.92999999999984</v>
      </c>
      <c r="D37" s="7">
        <v>409.875</v>
      </c>
      <c r="E37" s="7">
        <v>171.32999999999998</v>
      </c>
      <c r="F37" s="7">
        <v>221.43999999999997</v>
      </c>
    </row>
    <row r="38" spans="1:6" x14ac:dyDescent="0.3">
      <c r="B38" t="s">
        <v>6212</v>
      </c>
      <c r="C38" s="7">
        <v>299.07</v>
      </c>
      <c r="D38" s="7">
        <v>260.32499999999999</v>
      </c>
      <c r="E38" s="7">
        <v>584.64</v>
      </c>
      <c r="F38" s="7">
        <v>256.36500000000001</v>
      </c>
    </row>
    <row r="39" spans="1:6" x14ac:dyDescent="0.3">
      <c r="B39" t="s">
        <v>6213</v>
      </c>
      <c r="C39" s="7">
        <v>323.32499999999999</v>
      </c>
      <c r="D39" s="7">
        <v>565.57000000000005</v>
      </c>
      <c r="E39" s="7">
        <v>537.80999999999995</v>
      </c>
      <c r="F39" s="7">
        <v>189.47499999999999</v>
      </c>
    </row>
    <row r="40" spans="1:6" x14ac:dyDescent="0.3">
      <c r="B40" t="s">
        <v>6214</v>
      </c>
      <c r="C40" s="7">
        <v>399.48499999999996</v>
      </c>
      <c r="D40" s="7">
        <v>148.19999999999999</v>
      </c>
      <c r="E40" s="7">
        <v>388.21999999999997</v>
      </c>
      <c r="F40" s="7">
        <v>212.07499999999999</v>
      </c>
    </row>
    <row r="41" spans="1:6" x14ac:dyDescent="0.3">
      <c r="A41" t="s">
        <v>6201</v>
      </c>
      <c r="B41" t="s">
        <v>6203</v>
      </c>
      <c r="C41" s="7">
        <v>112.69499999999999</v>
      </c>
      <c r="D41" s="7">
        <v>166.32</v>
      </c>
      <c r="E41" s="7">
        <v>843.71499999999992</v>
      </c>
      <c r="F41" s="7">
        <v>146.685</v>
      </c>
    </row>
    <row r="42" spans="1:6" x14ac:dyDescent="0.3">
      <c r="B42" t="s">
        <v>6204</v>
      </c>
      <c r="C42" s="7">
        <v>114.87999999999998</v>
      </c>
      <c r="D42" s="7">
        <v>133.815</v>
      </c>
      <c r="E42" s="7">
        <v>91.175000000000011</v>
      </c>
      <c r="F42" s="7">
        <v>53.759999999999991</v>
      </c>
    </row>
    <row r="43" spans="1:6" x14ac:dyDescent="0.3">
      <c r="B43" t="s">
        <v>6205</v>
      </c>
      <c r="C43" s="7">
        <v>277.76</v>
      </c>
      <c r="D43" s="7">
        <v>175.41</v>
      </c>
      <c r="E43" s="7">
        <v>462.50999999999993</v>
      </c>
      <c r="F43" s="7">
        <v>399.52499999999998</v>
      </c>
    </row>
    <row r="44" spans="1:6" x14ac:dyDescent="0.3">
      <c r="B44" t="s">
        <v>6206</v>
      </c>
      <c r="C44" s="7">
        <v>197.89499999999998</v>
      </c>
      <c r="D44" s="7">
        <v>289.755</v>
      </c>
      <c r="E44" s="7">
        <v>88.545000000000002</v>
      </c>
      <c r="F44" s="7">
        <v>200.25499999999997</v>
      </c>
    </row>
    <row r="45" spans="1:6" x14ac:dyDescent="0.3">
      <c r="B45" t="s">
        <v>6207</v>
      </c>
      <c r="C45" s="7">
        <v>193.11499999999998</v>
      </c>
      <c r="D45" s="7">
        <v>212.49499999999998</v>
      </c>
      <c r="E45" s="7">
        <v>292.29000000000002</v>
      </c>
      <c r="F45" s="7">
        <v>304.46999999999997</v>
      </c>
    </row>
    <row r="46" spans="1:6" x14ac:dyDescent="0.3">
      <c r="B46" t="s">
        <v>6208</v>
      </c>
      <c r="C46" s="7">
        <v>179.79</v>
      </c>
      <c r="D46" s="7">
        <v>426.2</v>
      </c>
      <c r="E46" s="7">
        <v>170.08999999999997</v>
      </c>
      <c r="F46" s="7">
        <v>379.31</v>
      </c>
    </row>
    <row r="47" spans="1:6" x14ac:dyDescent="0.3">
      <c r="B47" t="s">
        <v>6209</v>
      </c>
      <c r="C47" s="7">
        <v>247.28999999999996</v>
      </c>
      <c r="D47" s="7">
        <v>246.685</v>
      </c>
      <c r="E47" s="7">
        <v>271.05499999999995</v>
      </c>
      <c r="F47" s="7">
        <v>141.69999999999999</v>
      </c>
    </row>
    <row r="48" spans="1:6" x14ac:dyDescent="0.3">
      <c r="B48" t="s">
        <v>6210</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45280-D977-4A3B-B8DB-EFB18B97AECC}">
  <dimension ref="A3:B6"/>
  <sheetViews>
    <sheetView zoomScale="85" zoomScaleNormal="85" workbookViewId="0">
      <selection activeCell="D24" sqref="D24"/>
    </sheetView>
  </sheetViews>
  <sheetFormatPr defaultRowHeight="14.4" x14ac:dyDescent="0.3"/>
  <cols>
    <col min="1" max="1" width="14.44140625" bestFit="1" customWidth="1"/>
    <col min="2" max="2" width="12.109375" bestFit="1" customWidth="1"/>
    <col min="3" max="3" width="7.33203125" bestFit="1" customWidth="1"/>
    <col min="4" max="4" width="7.77734375" bestFit="1" customWidth="1"/>
    <col min="5" max="6" width="8.21875" bestFit="1" customWidth="1"/>
  </cols>
  <sheetData>
    <row r="3" spans="1:2" x14ac:dyDescent="0.3">
      <c r="A3" s="6" t="s">
        <v>7</v>
      </c>
      <c r="B3" t="s">
        <v>6202</v>
      </c>
    </row>
    <row r="4" spans="1:2" x14ac:dyDescent="0.3">
      <c r="A4" t="s">
        <v>28</v>
      </c>
      <c r="B4" s="8">
        <v>2798.5050000000001</v>
      </c>
    </row>
    <row r="5" spans="1:2" x14ac:dyDescent="0.3">
      <c r="A5" t="s">
        <v>318</v>
      </c>
      <c r="B5" s="8">
        <v>6696.8649999999989</v>
      </c>
    </row>
    <row r="6" spans="1:2" x14ac:dyDescent="0.3">
      <c r="A6" t="s">
        <v>19</v>
      </c>
      <c r="B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8803C-141E-4BE5-815D-616393F997F6}">
  <dimension ref="A3:B8"/>
  <sheetViews>
    <sheetView zoomScale="85" zoomScaleNormal="85" workbookViewId="0">
      <selection activeCell="H28" sqref="H28"/>
    </sheetView>
  </sheetViews>
  <sheetFormatPr defaultRowHeight="14.4" x14ac:dyDescent="0.3"/>
  <cols>
    <col min="1" max="1" width="17.88671875" bestFit="1" customWidth="1"/>
    <col min="2" max="2" width="12.109375" bestFit="1" customWidth="1"/>
    <col min="3" max="3" width="7.33203125" bestFit="1" customWidth="1"/>
    <col min="4" max="4" width="7.77734375" bestFit="1" customWidth="1"/>
    <col min="5" max="6" width="8.21875" bestFit="1" customWidth="1"/>
  </cols>
  <sheetData>
    <row r="3" spans="1:2" x14ac:dyDescent="0.3">
      <c r="A3" s="6" t="s">
        <v>4</v>
      </c>
      <c r="B3" t="s">
        <v>6202</v>
      </c>
    </row>
    <row r="4" spans="1:2" x14ac:dyDescent="0.3">
      <c r="A4" t="s">
        <v>3753</v>
      </c>
      <c r="B4" s="8">
        <v>278.01</v>
      </c>
    </row>
    <row r="5" spans="1:2" x14ac:dyDescent="0.3">
      <c r="A5" t="s">
        <v>1598</v>
      </c>
      <c r="B5" s="8">
        <v>281.67499999999995</v>
      </c>
    </row>
    <row r="6" spans="1:2" x14ac:dyDescent="0.3">
      <c r="A6" t="s">
        <v>2587</v>
      </c>
      <c r="B6" s="8">
        <v>289.11</v>
      </c>
    </row>
    <row r="7" spans="1:2" x14ac:dyDescent="0.3">
      <c r="A7" t="s">
        <v>5765</v>
      </c>
      <c r="B7" s="8">
        <v>307.04499999999996</v>
      </c>
    </row>
    <row r="8" spans="1:2" x14ac:dyDescent="0.3">
      <c r="A8" t="s">
        <v>5114</v>
      </c>
      <c r="B8" s="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B1" zoomScaleNormal="100" workbookViewId="0">
      <selection activeCell="C4" sqref="C4"/>
    </sheetView>
  </sheetViews>
  <sheetFormatPr defaultRowHeight="14.4" x14ac:dyDescent="0.3"/>
  <cols>
    <col min="1" max="1" width="16.5546875" bestFit="1" customWidth="1"/>
    <col min="2" max="2" width="13.33203125" customWidth="1"/>
    <col min="3" max="3" width="17.44140625" bestFit="1" customWidth="1"/>
    <col min="4" max="4" width="11.77734375" customWidth="1"/>
    <col min="5" max="5" width="10.21875" customWidth="1"/>
    <col min="6" max="6" width="17.5546875" customWidth="1"/>
    <col min="7" max="7" width="25.33203125" customWidth="1"/>
    <col min="8" max="8" width="12.5546875" customWidth="1"/>
    <col min="9" max="9" width="13" customWidth="1"/>
    <col min="10" max="10" width="12.109375" customWidth="1"/>
    <col min="11" max="11" width="6.109375" customWidth="1"/>
    <col min="12" max="12" width="11" customWidth="1"/>
    <col min="13" max="13" width="10.21875" customWidth="1"/>
    <col min="14" max="14" width="18.44140625" customWidth="1"/>
    <col min="15" max="15" width="17.5546875" customWidth="1"/>
    <col min="16" max="16" width="13.77734375"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5"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Ahmad Abdallah</cp:lastModifiedBy>
  <cp:revision/>
  <dcterms:created xsi:type="dcterms:W3CDTF">2022-11-26T09:51:45Z</dcterms:created>
  <dcterms:modified xsi:type="dcterms:W3CDTF">2026-06-11T21:42:37Z</dcterms:modified>
  <cp:category/>
  <cp:contentStatus/>
</cp:coreProperties>
</file>